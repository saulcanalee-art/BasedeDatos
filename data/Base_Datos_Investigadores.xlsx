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 de Datos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Dat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8"/>
    </font>
    <font>
      <name val="Arial"/>
      <i val="1"/>
      <color rgb="00808080"/>
      <sz val="9"/>
    </font>
    <font>
      <name val="Arial"/>
      <b val="1"/>
      <color rgb="00FFFFFF"/>
      <sz val="15"/>
    </font>
    <font>
      <name val="Arial"/>
      <b val="1"/>
      <color rgb="001F4E78"/>
      <sz val="11"/>
    </font>
    <font>
      <name val="Arial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00838F"/>
      </patternFill>
    </fill>
    <fill>
      <patternFill patternType="solid">
        <fgColor rgb="00C62828"/>
      </patternFill>
    </fill>
    <fill>
      <patternFill patternType="solid">
        <fgColor rgb="005E35B1"/>
      </patternFill>
    </fill>
    <fill>
      <patternFill patternType="solid">
        <fgColor rgb="00AD1457"/>
      </patternFill>
    </fill>
    <fill>
      <patternFill patternType="solid">
        <fgColor rgb="00EF6C00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12 por Citas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'Datos'!B1</f>
            </strRef>
          </tx>
          <spPr>
            <a:solidFill xmlns:a="http://schemas.openxmlformats.org/drawingml/2006/main">
              <a:srgbClr val="AD1457"/>
            </a:solidFill>
            <a:ln xmlns:a="http://schemas.openxmlformats.org/drawingml/2006/main">
              <a:prstDash val="solid"/>
            </a:ln>
          </spPr>
          <cat>
            <numRef>
              <f>'Datos'!$A$2:$A$13</f>
            </numRef>
          </cat>
          <val>
            <numRef>
              <f>'Datos'!$B$2:$B$13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12 por Indice 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'Datos'!E1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'Datos'!$D$2:$D$13</f>
            </numRef>
          </cat>
          <val>
            <numRef>
              <f>'Datos'!$E$2:$E$13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Distribucion de Indice 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'Datos'!H1</f>
            </strRef>
          </tx>
          <spPr>
            <a:solidFill xmlns:a="http://schemas.openxmlformats.org/drawingml/2006/main">
              <a:srgbClr val="EF6C00"/>
            </a:solidFill>
            <a:ln xmlns:a="http://schemas.openxmlformats.org/drawingml/2006/main">
              <a:prstDash val="solid"/>
            </a:ln>
          </spPr>
          <cat>
            <numRef>
              <f>'Datos'!$G$2:$G$7</f>
            </numRef>
          </cat>
          <val>
            <numRef>
              <f>'Datos'!$H$2:$H$7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ORCID</a:t>
            </a:r>
          </a:p>
        </rich>
      </tx>
    </title>
    <plotArea>
      <pieChart>
        <varyColors val="1"/>
        <ser>
          <idx val="0"/>
          <order val="0"/>
          <tx>
            <strRef>
              <f>'Datos'!K1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'Datos'!$J$2:$J$4</f>
            </numRef>
          </cat>
          <val>
            <numRef>
              <f>'Datos'!$K$2:$K$4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Publicaciones por cuartil (SJR)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'Datos'!N1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'Datos'!$M$2:$M$6</f>
            </numRef>
          </cat>
          <val>
            <numRef>
              <f>'Datos'!$N$2:$N$6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30</row>
      <rowOff>0</rowOff>
    </from>
    <ext cx="36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47</row>
      <rowOff>0</rowOff>
    </from>
    <ext cx="468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2">
      <c r="B2" s="1" t="inlineStr">
        <is>
          <t>PANEL DE INDICADORES — Investigadores UANL</t>
        </is>
      </c>
    </row>
    <row r="3">
      <c r="B3" s="2" t="inlineStr">
        <is>
          <t>Fuente: OpenAlex (jul-2026) · Cuartil SJR/Scimago (reemplazable por JCR)</t>
        </is>
      </c>
    </row>
    <row r="5">
      <c r="B5" s="3" t="inlineStr">
        <is>
          <t>93
Investigadores</t>
        </is>
      </c>
      <c r="F5" s="4" t="inlineStr">
        <is>
          <t>87
Con perfil</t>
        </is>
      </c>
      <c r="J5" s="5" t="inlineStr">
        <is>
          <t>86
Con ORCID</t>
        </is>
      </c>
      <c r="N5" s="6" t="inlineStr">
        <is>
          <t>6
Sin perfil</t>
        </is>
      </c>
    </row>
    <row r="6"/>
    <row r="7"/>
    <row r="9">
      <c r="B9" s="7" t="inlineStr">
        <is>
          <t>3,160
Publicaciones</t>
        </is>
      </c>
      <c r="F9" s="8" t="inlineStr">
        <is>
          <t>46,447
Citas totales</t>
        </is>
      </c>
      <c r="J9" s="9" t="inlineStr">
        <is>
          <t>7.9
H promedio</t>
        </is>
      </c>
      <c r="N9" s="10" t="inlineStr">
        <is>
          <t>48
H maximo</t>
        </is>
      </c>
    </row>
    <row r="10"/>
    <row r="11"/>
  </sheetData>
  <mergeCells count="10">
    <mergeCell ref="J9:M11"/>
    <mergeCell ref="N9:Q11"/>
    <mergeCell ref="F9:I11"/>
    <mergeCell ref="N5:Q7"/>
    <mergeCell ref="B2:R2"/>
    <mergeCell ref="B3:R3"/>
    <mergeCell ref="J5:M7"/>
    <mergeCell ref="B5:E7"/>
    <mergeCell ref="F5:I7"/>
    <mergeCell ref="B9:E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20" customWidth="1" min="3" max="3"/>
    <col width="33" customWidth="1" min="4" max="4"/>
    <col width="24" customWidth="1" min="5" max="5"/>
    <col width="11" customWidth="1" min="6" max="6"/>
    <col width="10" customWidth="1" min="7" max="7"/>
    <col width="7" customWidth="1" min="8" max="8"/>
    <col width="8" customWidth="1" min="9" max="9"/>
    <col width="11" customWidth="1" min="10" max="10"/>
    <col width="9" customWidth="1" min="11" max="11"/>
    <col width="11" customWidth="1" min="12" max="12"/>
    <col width="12" customWidth="1" min="13" max="13"/>
    <col width="12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42" customWidth="1" min="20" max="20"/>
    <col width="26" customWidth="1" min="21" max="21"/>
    <col width="42" customWidth="1" min="22" max="22"/>
  </cols>
  <sheetData>
    <row r="1" ht="30" customHeight="1">
      <c r="A1" s="11" t="inlineStr">
        <is>
          <t>CVU</t>
        </is>
      </c>
      <c r="B1" s="11" t="inlineStr">
        <is>
          <t>Nombre Investigador</t>
        </is>
      </c>
      <c r="C1" s="11" t="inlineStr">
        <is>
          <t>ORCID</t>
        </is>
      </c>
      <c r="D1" s="11" t="inlineStr">
        <is>
          <t>URL ORCID</t>
        </is>
      </c>
      <c r="E1" s="11" t="inlineStr">
        <is>
          <t>Fuente ORCID</t>
        </is>
      </c>
      <c r="F1" s="11" t="inlineStr">
        <is>
          <t>Total Publicaciones</t>
        </is>
      </c>
      <c r="G1" s="11" t="inlineStr">
        <is>
          <t>Total Citas</t>
        </is>
      </c>
      <c r="H1" s="11" t="inlineStr">
        <is>
          <t>Indice H</t>
        </is>
      </c>
      <c r="I1" s="11" t="inlineStr">
        <is>
          <t>Indice i10</t>
        </is>
      </c>
      <c r="J1" s="11" t="inlineStr">
        <is>
          <t>Citas Promedio 2yr</t>
        </is>
      </c>
      <c r="K1" s="11" t="inlineStr">
        <is>
          <t>Citas por Pub</t>
        </is>
      </c>
      <c r="L1" s="11" t="inlineStr">
        <is>
          <t>Articulos de Revista</t>
        </is>
      </c>
      <c r="M1" s="11" t="inlineStr">
        <is>
          <t>Preprints/Editoriales</t>
        </is>
      </c>
      <c r="N1" s="11" t="inlineStr">
        <is>
          <t>Capitulos de Libro</t>
        </is>
      </c>
      <c r="O1" s="11" t="inlineStr">
        <is>
          <t>Pub Q1</t>
        </is>
      </c>
      <c r="P1" s="11" t="inlineStr">
        <is>
          <t>Pub Q2</t>
        </is>
      </c>
      <c r="Q1" s="11" t="inlineStr">
        <is>
          <t>Pub Q3</t>
        </is>
      </c>
      <c r="R1" s="11" t="inlineStr">
        <is>
          <t>Pub Q4</t>
        </is>
      </c>
      <c r="S1" s="11" t="inlineStr">
        <is>
          <t>Sin Cuartil</t>
        </is>
      </c>
      <c r="T1" s="11" t="inlineStr">
        <is>
          <t>Revistas Principales</t>
        </is>
      </c>
      <c r="U1" s="11" t="inlineStr">
        <is>
          <t>Estado del registro</t>
        </is>
      </c>
      <c r="V1" s="11" t="inlineStr">
        <is>
          <t>Notas</t>
        </is>
      </c>
    </row>
    <row r="2">
      <c r="A2" s="12" t="n">
        <v>25712</v>
      </c>
      <c r="B2" s="13" t="inlineStr">
        <is>
          <t>María Aracelia Alcorta García</t>
        </is>
      </c>
      <c r="C2" s="12" t="inlineStr">
        <is>
          <t>0000-0002-9079-2771</t>
        </is>
      </c>
      <c r="D2" s="13" t="inlineStr">
        <is>
          <t>https://orcid.org/0000-0002-9079-2771</t>
        </is>
      </c>
      <c r="E2" s="13" t="inlineStr">
        <is>
          <t>OpenAlex + ORCID</t>
        </is>
      </c>
      <c r="F2" s="12" t="n">
        <v>28</v>
      </c>
      <c r="G2" s="12" t="n">
        <v>134</v>
      </c>
      <c r="H2" s="12" t="n">
        <v>6</v>
      </c>
      <c r="I2" s="12" t="n">
        <v>2</v>
      </c>
      <c r="J2" s="12" t="n">
        <v>3.33</v>
      </c>
      <c r="K2" s="12" t="n">
        <v>4.8</v>
      </c>
      <c r="L2" s="12" t="n">
        <v>13</v>
      </c>
      <c r="M2" s="12" t="n">
        <v>1</v>
      </c>
      <c r="N2" s="12" t="n">
        <v>0</v>
      </c>
      <c r="O2" s="12" t="n">
        <v>2</v>
      </c>
      <c r="P2" s="12" t="n">
        <v>3</v>
      </c>
      <c r="Q2" s="12" t="n">
        <v>2</v>
      </c>
      <c r="R2" s="12" t="n">
        <v>2</v>
      </c>
      <c r="S2" s="12" t="n">
        <v>7</v>
      </c>
      <c r="T2" s="13" t="inlineStr">
        <is>
          <t>Mathematics; DYNA; Mathematical Problems in Engineering; Materials</t>
        </is>
      </c>
      <c r="U2" s="14" t="inlineStr">
        <is>
          <t>Verificado</t>
        </is>
      </c>
      <c r="V2" s="13" t="inlineStr"/>
    </row>
    <row r="3">
      <c r="A3" s="12" t="n">
        <v>93301</v>
      </c>
      <c r="B3" s="13" t="inlineStr">
        <is>
          <t>Francisco Javier Almaguer Martínez</t>
        </is>
      </c>
      <c r="C3" s="12" t="inlineStr">
        <is>
          <t>0000-0001-9422-5259</t>
        </is>
      </c>
      <c r="D3" s="13" t="inlineStr">
        <is>
          <t>https://orcid.org/0000-0001-9422-5259</t>
        </is>
      </c>
      <c r="E3" s="13" t="inlineStr">
        <is>
          <t>OpenAlex + ORCID</t>
        </is>
      </c>
      <c r="F3" s="12" t="n">
        <v>28</v>
      </c>
      <c r="G3" s="12" t="n">
        <v>202</v>
      </c>
      <c r="H3" s="12" t="n">
        <v>6</v>
      </c>
      <c r="I3" s="12" t="n">
        <v>3</v>
      </c>
      <c r="J3" s="12" t="n">
        <v>1.67</v>
      </c>
      <c r="K3" s="12" t="n">
        <v>7.2</v>
      </c>
      <c r="L3" s="12" t="n">
        <v>24</v>
      </c>
      <c r="M3" s="12" t="n">
        <v>4</v>
      </c>
      <c r="N3" s="12" t="n">
        <v>0</v>
      </c>
      <c r="O3" s="12" t="n">
        <v>13</v>
      </c>
      <c r="P3" s="12" t="n">
        <v>7</v>
      </c>
      <c r="Q3" s="12" t="n">
        <v>3</v>
      </c>
      <c r="R3" s="12" t="n">
        <v>1</v>
      </c>
      <c r="S3" s="12" t="n">
        <v>4</v>
      </c>
      <c r="T3" s="13" t="inlineStr">
        <is>
          <t>Journal of Computational and Applied Mathematics; Physica A Statistical Mechanics and its Applications; Advances in Computational Mathematics; Earth Science Informatics</t>
        </is>
      </c>
      <c r="U3" s="14" t="inlineStr">
        <is>
          <t>Verificado</t>
        </is>
      </c>
      <c r="V3" s="13" t="inlineStr"/>
    </row>
    <row r="4">
      <c r="A4" s="12" t="n">
        <v>926347</v>
      </c>
      <c r="B4" s="13" t="inlineStr">
        <is>
          <t>Luis Angel Alvarado Leal</t>
        </is>
      </c>
      <c r="C4" s="12" t="inlineStr">
        <is>
          <t>0009-0002-5608-3119</t>
        </is>
      </c>
      <c r="D4" s="13" t="inlineStr">
        <is>
          <t>https://orcid.org/0009-0002-5608-3119</t>
        </is>
      </c>
      <c r="E4" s="13" t="inlineStr">
        <is>
          <t>OpenAlex + ORCID</t>
        </is>
      </c>
      <c r="F4" s="12" t="n">
        <v>10</v>
      </c>
      <c r="G4" s="12" t="n">
        <v>72</v>
      </c>
      <c r="H4" s="12" t="n">
        <v>6</v>
      </c>
      <c r="I4" s="12" t="n">
        <v>2</v>
      </c>
      <c r="J4" s="12" t="n">
        <v>4.6</v>
      </c>
      <c r="K4" s="12" t="n">
        <v>7.2</v>
      </c>
      <c r="L4" s="12" t="n">
        <v>10</v>
      </c>
      <c r="M4" s="12" t="n">
        <v>0</v>
      </c>
      <c r="N4" s="12" t="n">
        <v>0</v>
      </c>
      <c r="O4" s="12" t="n">
        <v>9</v>
      </c>
      <c r="P4" s="12" t="n">
        <v>1</v>
      </c>
      <c r="Q4" s="12" t="n">
        <v>0</v>
      </c>
      <c r="R4" s="12" t="n">
        <v>0</v>
      </c>
      <c r="S4" s="12" t="n">
        <v>0</v>
      </c>
      <c r="T4" s="13" t="inlineStr">
        <is>
          <t>ACS Applied Nano Materials; Surfaces and Interfaces; Nanoscale; New Journal of Chemistry</t>
        </is>
      </c>
      <c r="U4" s="14" t="inlineStr">
        <is>
          <t>Verificado</t>
        </is>
      </c>
      <c r="V4" s="13" t="inlineStr"/>
    </row>
    <row r="5">
      <c r="A5" s="12" t="n">
        <v>165173</v>
      </c>
      <c r="B5" s="13" t="inlineStr">
        <is>
          <t>David Edwin Alvarez Castillo</t>
        </is>
      </c>
      <c r="C5" s="12" t="inlineStr">
        <is>
          <t>0000-0003-1874-8116</t>
        </is>
      </c>
      <c r="D5" s="13" t="inlineStr">
        <is>
          <t>https://orcid.org/0000-0003-1874-8116</t>
        </is>
      </c>
      <c r="E5" s="13" t="inlineStr">
        <is>
          <t>OpenAlex + ORCID</t>
        </is>
      </c>
      <c r="F5" s="12" t="n">
        <v>115</v>
      </c>
      <c r="G5" s="12" t="n">
        <v>1785</v>
      </c>
      <c r="H5" s="12" t="n">
        <v>19</v>
      </c>
      <c r="I5" s="12" t="n">
        <v>39</v>
      </c>
      <c r="J5" s="12" t="n">
        <v>5.67</v>
      </c>
      <c r="K5" s="12" t="n">
        <v>15.5</v>
      </c>
      <c r="L5" s="12" t="n">
        <v>47</v>
      </c>
      <c r="M5" s="12" t="n">
        <v>37</v>
      </c>
      <c r="N5" s="12" t="n">
        <v>1</v>
      </c>
      <c r="O5" s="12" t="n">
        <v>15</v>
      </c>
      <c r="P5" s="12" t="n">
        <v>12</v>
      </c>
      <c r="Q5" s="12" t="n">
        <v>4</v>
      </c>
      <c r="R5" s="12" t="n">
        <v>3</v>
      </c>
      <c r="S5" s="12" t="n">
        <v>71</v>
      </c>
      <c r="T5" s="13" t="inlineStr">
        <is>
          <t>Physical review. D; Universe; Physics of Particles and Nuclei; Symmetry</t>
        </is>
      </c>
      <c r="U5" s="14" t="inlineStr">
        <is>
          <t>Verificado</t>
        </is>
      </c>
      <c r="V5" s="13" t="inlineStr"/>
    </row>
    <row r="6">
      <c r="A6" s="12" t="n">
        <v>169343</v>
      </c>
      <c r="B6" s="13" t="inlineStr">
        <is>
          <t>Andrés Alberto Avilés Alvarado</t>
        </is>
      </c>
      <c r="C6" s="12" t="inlineStr"/>
      <c r="D6" s="13" t="inlineStr"/>
      <c r="E6" s="13" t="inlineStr">
        <is>
          <t>-</t>
        </is>
      </c>
      <c r="F6" s="12" t="n"/>
      <c r="G6" s="12" t="n"/>
      <c r="H6" s="12" t="n"/>
      <c r="I6" s="12" t="n"/>
      <c r="J6" s="12" t="n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3" t="inlineStr"/>
      <c r="U6" s="15" t="inlineStr">
        <is>
          <t>No encontrado - revisar en WoS/Scopus</t>
        </is>
      </c>
      <c r="V6" s="13" t="inlineStr">
        <is>
          <t>Sin perfil en OpenAlex; revisar en WoS/Scopus</t>
        </is>
      </c>
    </row>
    <row r="7">
      <c r="A7" s="12" t="n">
        <v>20585</v>
      </c>
      <c r="B7" s="13" t="inlineStr">
        <is>
          <t>Mikhail Valentinovich Basin</t>
        </is>
      </c>
      <c r="C7" s="12" t="inlineStr">
        <is>
          <t>0000-0002-7274-4303</t>
        </is>
      </c>
      <c r="D7" s="13" t="inlineStr">
        <is>
          <t>https://orcid.org/0000-0002-7274-4303</t>
        </is>
      </c>
      <c r="E7" s="13" t="inlineStr">
        <is>
          <t>OpenAlex + ORCID</t>
        </is>
      </c>
      <c r="F7" s="12" t="n">
        <v>470</v>
      </c>
      <c r="G7" s="12" t="n">
        <v>8745</v>
      </c>
      <c r="H7" s="12" t="n">
        <v>48</v>
      </c>
      <c r="I7" s="12" t="n">
        <v>152</v>
      </c>
      <c r="J7" s="12" t="n">
        <v>2.16</v>
      </c>
      <c r="K7" s="12" t="n">
        <v>18.6</v>
      </c>
      <c r="L7" s="12" t="n">
        <v>242</v>
      </c>
      <c r="M7" s="12" t="n">
        <v>17</v>
      </c>
      <c r="N7" s="12" t="n">
        <v>10</v>
      </c>
      <c r="O7" s="12" t="n">
        <v>158</v>
      </c>
      <c r="P7" s="12" t="n">
        <v>37</v>
      </c>
      <c r="Q7" s="12" t="n">
        <v>9</v>
      </c>
      <c r="R7" s="12" t="n">
        <v>3</v>
      </c>
      <c r="S7" s="12" t="n">
        <v>89</v>
      </c>
      <c r="T7" s="13" t="inlineStr">
        <is>
          <t>Journal of the Franklin Institute; International Journal of Systems Science; IEEE Transactions on Automatic Control; IEEE Transactions on Cybernetics</t>
        </is>
      </c>
      <c r="U7" s="14" t="inlineStr">
        <is>
          <t>Verificado</t>
        </is>
      </c>
      <c r="V7" s="13" t="inlineStr"/>
    </row>
    <row r="8">
      <c r="A8" s="12" t="n">
        <v>219087</v>
      </c>
      <c r="B8" s="13" t="inlineStr">
        <is>
          <t>José Fernando Camacho Vallejo</t>
        </is>
      </c>
      <c r="C8" s="12" t="inlineStr">
        <is>
          <t>0000-0001-6519-7690</t>
        </is>
      </c>
      <c r="D8" s="13" t="inlineStr">
        <is>
          <t>https://orcid.org/0000-0001-6519-7690</t>
        </is>
      </c>
      <c r="E8" s="13" t="inlineStr">
        <is>
          <t>OpenAlex + ORCID</t>
        </is>
      </c>
      <c r="F8" s="12" t="n">
        <v>59</v>
      </c>
      <c r="G8" s="12" t="n">
        <v>989</v>
      </c>
      <c r="H8" s="12" t="n">
        <v>16</v>
      </c>
      <c r="I8" s="12" t="n">
        <v>23</v>
      </c>
      <c r="J8" s="12" t="n">
        <v>1.33</v>
      </c>
      <c r="K8" s="12" t="n">
        <v>16.8</v>
      </c>
      <c r="L8" s="12" t="n">
        <v>50</v>
      </c>
      <c r="M8" s="12" t="n">
        <v>5</v>
      </c>
      <c r="N8" s="12" t="n">
        <v>0</v>
      </c>
      <c r="O8" s="12" t="n">
        <v>21</v>
      </c>
      <c r="P8" s="12" t="n">
        <v>9</v>
      </c>
      <c r="Q8" s="12" t="n">
        <v>9</v>
      </c>
      <c r="R8" s="12" t="n">
        <v>1</v>
      </c>
      <c r="S8" s="12" t="n">
        <v>18</v>
      </c>
      <c r="T8" s="13" t="inlineStr">
        <is>
          <t>Computers &amp; Operations Research; Mathematical Problems in Engineering; Expert Systems with Applications; Computers &amp; Industrial Engineering</t>
        </is>
      </c>
      <c r="U8" s="14" t="inlineStr">
        <is>
          <t>Verificado</t>
        </is>
      </c>
      <c r="V8" s="13" t="inlineStr"/>
    </row>
    <row r="9">
      <c r="A9" s="12" t="n">
        <v>30281</v>
      </c>
      <c r="B9" s="13" t="inlineStr">
        <is>
          <t>Gerardo Antonio Castañón Avila</t>
        </is>
      </c>
      <c r="C9" s="12" t="inlineStr">
        <is>
          <t>0000-0001-5208-5745</t>
        </is>
      </c>
      <c r="D9" s="13" t="inlineStr">
        <is>
          <t>https://orcid.org/0000-0001-5208-5745</t>
        </is>
      </c>
      <c r="E9" s="13" t="inlineStr">
        <is>
          <t>OpenAlex + ORCID</t>
        </is>
      </c>
      <c r="F9" s="12" t="n">
        <v>127</v>
      </c>
      <c r="G9" s="12" t="n">
        <v>1210</v>
      </c>
      <c r="H9" s="12" t="n">
        <v>16</v>
      </c>
      <c r="I9" s="12" t="n">
        <v>34</v>
      </c>
      <c r="J9" s="12" t="n">
        <v>2.89</v>
      </c>
      <c r="K9" s="12" t="n">
        <v>9.5</v>
      </c>
      <c r="L9" s="12" t="n">
        <v>60</v>
      </c>
      <c r="M9" s="12" t="n">
        <v>2</v>
      </c>
      <c r="N9" s="12" t="n">
        <v>5</v>
      </c>
      <c r="O9" s="12" t="n">
        <v>16</v>
      </c>
      <c r="P9" s="12" t="n">
        <v>12</v>
      </c>
      <c r="Q9" s="12" t="n">
        <v>13</v>
      </c>
      <c r="R9" s="12" t="n">
        <v>3</v>
      </c>
      <c r="S9" s="12" t="n">
        <v>35</v>
      </c>
      <c r="T9" s="13" t="inlineStr">
        <is>
          <t>Photonic Network Communications; Optics &amp; Laser Technology; IEEE Access; Applied Sciences</t>
        </is>
      </c>
      <c r="U9" s="14" t="inlineStr">
        <is>
          <t>Verificado (afil. ITESM/UANL)</t>
        </is>
      </c>
      <c r="V9" s="13" t="inlineStr"/>
    </row>
    <row r="10">
      <c r="A10" s="12" t="n">
        <v>176679</v>
      </c>
      <c r="B10" s="13" t="inlineStr">
        <is>
          <t>Arturo Alberto Castillo Guzmán</t>
        </is>
      </c>
      <c r="C10" s="12" t="inlineStr">
        <is>
          <t>0000-0002-0505-832X</t>
        </is>
      </c>
      <c r="D10" s="13" t="inlineStr">
        <is>
          <t>https://orcid.org/0000-0002-0505-832X</t>
        </is>
      </c>
      <c r="E10" s="13" t="inlineStr">
        <is>
          <t>OpenAlex + ORCID</t>
        </is>
      </c>
      <c r="F10" s="12" t="n">
        <v>54</v>
      </c>
      <c r="G10" s="12" t="n">
        <v>753</v>
      </c>
      <c r="H10" s="12" t="n">
        <v>12</v>
      </c>
      <c r="I10" s="12" t="n">
        <v>16</v>
      </c>
      <c r="J10" s="12" t="n">
        <v>0</v>
      </c>
      <c r="K10" s="12" t="n">
        <v>13.9</v>
      </c>
      <c r="L10" s="12" t="n">
        <v>23</v>
      </c>
      <c r="M10" s="12" t="n">
        <v>0</v>
      </c>
      <c r="N10" s="12" t="n">
        <v>0</v>
      </c>
      <c r="O10" s="12" t="n">
        <v>9</v>
      </c>
      <c r="P10" s="12" t="n">
        <v>6</v>
      </c>
      <c r="Q10" s="12" t="n">
        <v>4</v>
      </c>
      <c r="R10" s="12" t="n">
        <v>0</v>
      </c>
      <c r="S10" s="12" t="n">
        <v>21</v>
      </c>
      <c r="T10" s="13" t="inlineStr">
        <is>
          <t>Sensors; Laser Physics; Optics Communications; Optics Letters</t>
        </is>
      </c>
      <c r="U10" s="16" t="inlineStr">
        <is>
          <t>Verificado (revisar)</t>
        </is>
      </c>
      <c r="V10" s="13" t="inlineStr"/>
    </row>
    <row r="11">
      <c r="A11" s="12" t="n">
        <v>216216</v>
      </c>
      <c r="B11" s="13" t="inlineStr">
        <is>
          <t>Alvaro Eduardo Cordero Franco</t>
        </is>
      </c>
      <c r="C11" s="12" t="inlineStr">
        <is>
          <t>0000-0003-4389-7682</t>
        </is>
      </c>
      <c r="D11" s="13" t="inlineStr">
        <is>
          <t>https://orcid.org/0000-0003-4389-7682</t>
        </is>
      </c>
      <c r="E11" s="13" t="inlineStr">
        <is>
          <t>OpenAlex + ORCID</t>
        </is>
      </c>
      <c r="F11" s="12" t="n">
        <v>28</v>
      </c>
      <c r="G11" s="12" t="n">
        <v>229</v>
      </c>
      <c r="H11" s="12" t="n">
        <v>8</v>
      </c>
      <c r="I11" s="12" t="n">
        <v>8</v>
      </c>
      <c r="J11" s="12" t="n">
        <v>1</v>
      </c>
      <c r="K11" s="12" t="n">
        <v>8.199999999999999</v>
      </c>
      <c r="L11" s="12" t="n">
        <v>21</v>
      </c>
      <c r="M11" s="12" t="n">
        <v>4</v>
      </c>
      <c r="N11" s="12" t="n">
        <v>0</v>
      </c>
      <c r="O11" s="12" t="n">
        <v>5</v>
      </c>
      <c r="P11" s="12" t="n">
        <v>8</v>
      </c>
      <c r="Q11" s="12" t="n">
        <v>1</v>
      </c>
      <c r="R11" s="12" t="n">
        <v>2</v>
      </c>
      <c r="S11" s="12" t="n">
        <v>9</v>
      </c>
      <c r="T11" s="13" t="inlineStr">
        <is>
          <t>Quality and Reliability Engineering International; Computers &amp; Industrial Engineering; Expert Systems with Applications; Operational Research</t>
        </is>
      </c>
      <c r="U11" s="14" t="inlineStr">
        <is>
          <t>Verificado</t>
        </is>
      </c>
      <c r="V11" s="13" t="inlineStr"/>
    </row>
    <row r="12">
      <c r="A12" s="12" t="n">
        <v>120727</v>
      </c>
      <c r="B12" s="13" t="inlineStr">
        <is>
          <t>Rodolfo Cortés Martínez</t>
        </is>
      </c>
      <c r="C12" s="12" t="inlineStr">
        <is>
          <t>0000-0002-6965-4673</t>
        </is>
      </c>
      <c r="D12" s="13" t="inlineStr">
        <is>
          <t>https://orcid.org/0000-0002-6965-4673</t>
        </is>
      </c>
      <c r="E12" s="13" t="inlineStr">
        <is>
          <t>OpenAlex + ORCID</t>
        </is>
      </c>
      <c r="F12" s="12" t="n">
        <v>31</v>
      </c>
      <c r="G12" s="12" t="n">
        <v>131</v>
      </c>
      <c r="H12" s="12" t="n">
        <v>5</v>
      </c>
      <c r="I12" s="12" t="n">
        <v>4</v>
      </c>
      <c r="J12" s="12" t="n">
        <v>0.5</v>
      </c>
      <c r="K12" s="12" t="n">
        <v>4.2</v>
      </c>
      <c r="L12" s="12" t="n">
        <v>26</v>
      </c>
      <c r="M12" s="12" t="n">
        <v>1</v>
      </c>
      <c r="N12" s="12" t="n">
        <v>0</v>
      </c>
      <c r="O12" s="12" t="n">
        <v>3</v>
      </c>
      <c r="P12" s="12" t="n">
        <v>5</v>
      </c>
      <c r="Q12" s="12" t="n">
        <v>6</v>
      </c>
      <c r="R12" s="12" t="n">
        <v>3</v>
      </c>
      <c r="S12" s="12" t="n">
        <v>8</v>
      </c>
      <c r="T12" s="13" t="inlineStr">
        <is>
          <t>Surface Review and Letters; Optics Letters; NANO; AIP Advances</t>
        </is>
      </c>
      <c r="U12" s="14" t="inlineStr">
        <is>
          <t>Verificado (perfil hallado via ORCID)</t>
        </is>
      </c>
      <c r="V12" s="13" t="inlineStr"/>
    </row>
    <row r="13">
      <c r="A13" s="12" t="n">
        <v>14889</v>
      </c>
      <c r="B13" s="13" t="inlineStr">
        <is>
          <t>Nora Elizondo Villarreal</t>
        </is>
      </c>
      <c r="C13" s="12" t="inlineStr">
        <is>
          <t>0000-0002-1661-7756</t>
        </is>
      </c>
      <c r="D13" s="13" t="inlineStr">
        <is>
          <t>https://orcid.org/0000-0002-1661-7756</t>
        </is>
      </c>
      <c r="E13" s="13" t="inlineStr">
        <is>
          <t>OpenAlex + ORCID</t>
        </is>
      </c>
      <c r="F13" s="12" t="n">
        <v>44</v>
      </c>
      <c r="G13" s="12" t="n">
        <v>614</v>
      </c>
      <c r="H13" s="12" t="n">
        <v>12</v>
      </c>
      <c r="I13" s="12" t="n">
        <v>13</v>
      </c>
      <c r="J13" s="12" t="n">
        <v>6</v>
      </c>
      <c r="K13" s="12" t="n">
        <v>14</v>
      </c>
      <c r="L13" s="12" t="n">
        <v>38</v>
      </c>
      <c r="M13" s="12" t="n">
        <v>0</v>
      </c>
      <c r="N13" s="12" t="n">
        <v>2</v>
      </c>
      <c r="O13" s="12" t="n">
        <v>6</v>
      </c>
      <c r="P13" s="12" t="n">
        <v>10</v>
      </c>
      <c r="Q13" s="12" t="n">
        <v>5</v>
      </c>
      <c r="R13" s="12" t="n">
        <v>1</v>
      </c>
      <c r="S13" s="12" t="n">
        <v>16</v>
      </c>
      <c r="T13" s="13" t="inlineStr">
        <is>
          <t>Materials; MRS Advances; Revista Ciencia UANL; Applied Catalysis A General</t>
        </is>
      </c>
      <c r="U13" s="14" t="inlineStr">
        <is>
          <t>Verificado</t>
        </is>
      </c>
      <c r="V13" s="13" t="inlineStr"/>
    </row>
    <row r="14">
      <c r="A14" s="12" t="n">
        <v>935315</v>
      </c>
      <c r="B14" s="13" t="inlineStr">
        <is>
          <t>Elsia Escamilla Salazar</t>
        </is>
      </c>
      <c r="C14" s="12" t="inlineStr">
        <is>
          <t>0009-0006-5134-0031</t>
        </is>
      </c>
      <c r="D14" s="13" t="inlineStr">
        <is>
          <t>https://orcid.org/0009-0006-5134-0031</t>
        </is>
      </c>
      <c r="E14" s="13" t="inlineStr">
        <is>
          <t>OpenAlex + ORCID</t>
        </is>
      </c>
      <c r="F14" s="12" t="n">
        <v>2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2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1</v>
      </c>
      <c r="T14" s="13" t="inlineStr"/>
      <c r="U14" s="14" t="inlineStr">
        <is>
          <t>Verificado (perfil minimo, via ORCID)</t>
        </is>
      </c>
      <c r="V14" s="13" t="inlineStr"/>
    </row>
    <row r="15">
      <c r="A15" s="12" t="n">
        <v>514112</v>
      </c>
      <c r="B15" s="13" t="inlineStr">
        <is>
          <t>Héctor Noé Fernández Escamilla</t>
        </is>
      </c>
      <c r="C15" s="12" t="inlineStr">
        <is>
          <t>0000-0001-9327-629X</t>
        </is>
      </c>
      <c r="D15" s="13" t="inlineStr">
        <is>
          <t>https://orcid.org/0000-0001-9327-629X</t>
        </is>
      </c>
      <c r="E15" s="13" t="inlineStr">
        <is>
          <t>OpenAlex + ORCID</t>
        </is>
      </c>
      <c r="F15" s="12" t="n">
        <v>56</v>
      </c>
      <c r="G15" s="12" t="n">
        <v>622</v>
      </c>
      <c r="H15" s="12" t="n">
        <v>14</v>
      </c>
      <c r="I15" s="12" t="n">
        <v>21</v>
      </c>
      <c r="J15" s="12" t="n">
        <v>5.55</v>
      </c>
      <c r="K15" s="12" t="n">
        <v>11.1</v>
      </c>
      <c r="L15" s="12" t="n">
        <v>51</v>
      </c>
      <c r="M15" s="12" t="n">
        <v>4</v>
      </c>
      <c r="N15" s="12" t="n">
        <v>0</v>
      </c>
      <c r="O15" s="12" t="n">
        <v>30</v>
      </c>
      <c r="P15" s="12" t="n">
        <v>15</v>
      </c>
      <c r="Q15" s="12" t="n">
        <v>0</v>
      </c>
      <c r="R15" s="12" t="n">
        <v>0</v>
      </c>
      <c r="S15" s="12" t="n">
        <v>10</v>
      </c>
      <c r="T15" s="13" t="inlineStr">
        <is>
          <t>Applied Surface Science; Physical Chemistry Chemical Physics; Scientific Reports; ACS Applied Nano Materials</t>
        </is>
      </c>
      <c r="U15" s="14" t="inlineStr">
        <is>
          <t>Verificado</t>
        </is>
      </c>
      <c r="V15" s="13" t="inlineStr"/>
    </row>
    <row r="16">
      <c r="A16" s="12" t="n">
        <v>102742</v>
      </c>
      <c r="B16" s="13" t="inlineStr">
        <is>
          <t>Francisco Vicente Flores Baez</t>
        </is>
      </c>
      <c r="C16" s="12" t="inlineStr">
        <is>
          <t>0000-0001-5209-1897</t>
        </is>
      </c>
      <c r="D16" s="13" t="inlineStr">
        <is>
          <t>https://orcid.org/0000-0001-5209-1897</t>
        </is>
      </c>
      <c r="E16" s="13" t="inlineStr">
        <is>
          <t>OpenAlex + ORCID</t>
        </is>
      </c>
      <c r="F16" s="12" t="n">
        <v>18</v>
      </c>
      <c r="G16" s="12" t="n">
        <v>131</v>
      </c>
      <c r="H16" s="12" t="n">
        <v>6</v>
      </c>
      <c r="I16" s="12" t="n">
        <v>2</v>
      </c>
      <c r="J16" s="12" t="n">
        <v>0</v>
      </c>
      <c r="K16" s="12" t="n">
        <v>7.3</v>
      </c>
      <c r="L16" s="12" t="n">
        <v>13</v>
      </c>
      <c r="M16" s="12" t="n">
        <v>2</v>
      </c>
      <c r="N16" s="12" t="n">
        <v>0</v>
      </c>
      <c r="O16" s="12" t="n">
        <v>1</v>
      </c>
      <c r="P16" s="12" t="n">
        <v>0</v>
      </c>
      <c r="Q16" s="12" t="n">
        <v>6</v>
      </c>
      <c r="R16" s="12" t="n">
        <v>0</v>
      </c>
      <c r="S16" s="12" t="n">
        <v>11</v>
      </c>
      <c r="T16" s="13" t="inlineStr">
        <is>
          <t>Physical review. D; Open Physics; International Journal of Modern Physics A; Particles</t>
        </is>
      </c>
      <c r="U16" s="14" t="inlineStr">
        <is>
          <t>Verificado</t>
        </is>
      </c>
      <c r="V16" s="13" t="inlineStr"/>
    </row>
    <row r="17">
      <c r="A17" s="12" t="n">
        <v>664945</v>
      </c>
      <c r="B17" s="13" t="inlineStr">
        <is>
          <t>Jose Guadalupe Flores Muñoz</t>
        </is>
      </c>
      <c r="C17" s="12" t="inlineStr"/>
      <c r="D17" s="13" t="inlineStr"/>
      <c r="E17" s="13" t="inlineStr">
        <is>
          <t>-</t>
        </is>
      </c>
      <c r="F17" s="12" t="n"/>
      <c r="G17" s="12" t="n"/>
      <c r="H17" s="12" t="n"/>
      <c r="I17" s="12" t="n"/>
      <c r="J17" s="12" t="n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3" t="inlineStr"/>
      <c r="U17" s="15" t="inlineStr">
        <is>
          <t>No encontrado - revisar en WoS/Scopus</t>
        </is>
      </c>
      <c r="V17" s="13" t="inlineStr">
        <is>
          <t>Sin perfil en OpenAlex; revisar en WoS/Scopus</t>
        </is>
      </c>
    </row>
    <row r="18">
      <c r="A18" s="12" t="n">
        <v>374043</v>
      </c>
      <c r="B18" s="13" t="inlineStr">
        <is>
          <t>Flor Araceli García Castillo</t>
        </is>
      </c>
      <c r="C18" s="12" t="inlineStr">
        <is>
          <t>0000-0001-7019-7257</t>
        </is>
      </c>
      <c r="D18" s="13" t="inlineStr">
        <is>
          <t>https://orcid.org/0000-0001-7019-7257</t>
        </is>
      </c>
      <c r="E18" s="13" t="inlineStr">
        <is>
          <t>OpenAlex + ORCID</t>
        </is>
      </c>
      <c r="F18" s="12" t="n">
        <v>2</v>
      </c>
      <c r="G18" s="12" t="n">
        <v>3</v>
      </c>
      <c r="H18" s="12" t="n">
        <v>1</v>
      </c>
      <c r="I18" s="12" t="n">
        <v>0</v>
      </c>
      <c r="J18" s="12" t="n">
        <v>1.5</v>
      </c>
      <c r="K18" s="12" t="n">
        <v>1.5</v>
      </c>
      <c r="L18" s="12" t="n">
        <v>1</v>
      </c>
      <c r="M18" s="12" t="n">
        <v>1</v>
      </c>
      <c r="N18" s="12" t="n">
        <v>0</v>
      </c>
      <c r="O18" s="12" t="n">
        <v>0</v>
      </c>
      <c r="P18" s="12" t="n">
        <v>1</v>
      </c>
      <c r="Q18" s="12" t="n">
        <v>0</v>
      </c>
      <c r="R18" s="12" t="n">
        <v>0</v>
      </c>
      <c r="S18" s="12" t="n">
        <v>1</v>
      </c>
      <c r="T18" s="13" t="inlineStr">
        <is>
          <t>Atmosphere</t>
        </is>
      </c>
      <c r="U18" s="14" t="inlineStr">
        <is>
          <t>Verificado (perfil pequeno)</t>
        </is>
      </c>
      <c r="V18" s="13" t="inlineStr"/>
    </row>
    <row r="19">
      <c r="A19" s="12" t="n">
        <v>26006</v>
      </c>
      <c r="B19" s="13" t="inlineStr">
        <is>
          <t>Manuel García Méndez</t>
        </is>
      </c>
      <c r="C19" s="12" t="inlineStr">
        <is>
          <t>0000-0002-4893-0982</t>
        </is>
      </c>
      <c r="D19" s="13" t="inlineStr">
        <is>
          <t>https://orcid.org/0000-0002-4893-0982</t>
        </is>
      </c>
      <c r="E19" s="13" t="inlineStr">
        <is>
          <t>OpenAlex + ORCID</t>
        </is>
      </c>
      <c r="F19" s="12" t="n">
        <v>51</v>
      </c>
      <c r="G19" s="12" t="n">
        <v>362</v>
      </c>
      <c r="H19" s="12" t="n">
        <v>11</v>
      </c>
      <c r="I19" s="12" t="n">
        <v>13</v>
      </c>
      <c r="J19" s="12" t="n">
        <v>15.5</v>
      </c>
      <c r="K19" s="12" t="n">
        <v>7.1</v>
      </c>
      <c r="L19" s="12" t="n">
        <v>42</v>
      </c>
      <c r="M19" s="12" t="n">
        <v>1</v>
      </c>
      <c r="N19" s="12" t="n">
        <v>2</v>
      </c>
      <c r="O19" s="12" t="n">
        <v>7</v>
      </c>
      <c r="P19" s="12" t="n">
        <v>8</v>
      </c>
      <c r="Q19" s="12" t="n">
        <v>7</v>
      </c>
      <c r="R19" s="12" t="n">
        <v>4</v>
      </c>
      <c r="S19" s="12" t="n">
        <v>14</v>
      </c>
      <c r="T19" s="13" t="inlineStr">
        <is>
          <t>Journal of nano research; Surface Review and Letters; Applied Surface Science; Coatings</t>
        </is>
      </c>
      <c r="U19" s="14" t="inlineStr">
        <is>
          <t>Verificado</t>
        </is>
      </c>
      <c r="V19" s="13" t="inlineStr"/>
    </row>
    <row r="20">
      <c r="A20" s="12" t="n">
        <v>36918</v>
      </c>
      <c r="B20" s="13" t="inlineStr">
        <is>
          <t>Omar González Amezcua</t>
        </is>
      </c>
      <c r="C20" s="12" t="inlineStr">
        <is>
          <t>0000-0003-2420-0069</t>
        </is>
      </c>
      <c r="D20" s="13" t="inlineStr">
        <is>
          <t>https://orcid.org/0000-0003-2420-0069</t>
        </is>
      </c>
      <c r="E20" s="13" t="inlineStr">
        <is>
          <t>OpenAlex + ORCID</t>
        </is>
      </c>
      <c r="F20" s="12" t="n">
        <v>10</v>
      </c>
      <c r="G20" s="12" t="n">
        <v>35</v>
      </c>
      <c r="H20" s="12" t="n">
        <v>4</v>
      </c>
      <c r="I20" s="12" t="n">
        <v>1</v>
      </c>
      <c r="J20" s="12" t="n">
        <v>0</v>
      </c>
      <c r="K20" s="12" t="n">
        <v>3.5</v>
      </c>
      <c r="L20" s="12" t="n">
        <v>6</v>
      </c>
      <c r="M20" s="12" t="n">
        <v>0</v>
      </c>
      <c r="N20" s="12" t="n">
        <v>0</v>
      </c>
      <c r="O20" s="12" t="n">
        <v>0</v>
      </c>
      <c r="P20" s="12" t="n">
        <v>1</v>
      </c>
      <c r="Q20" s="12" t="n">
        <v>2</v>
      </c>
      <c r="R20" s="12" t="n">
        <v>0</v>
      </c>
      <c r="S20" s="12" t="n">
        <v>7</v>
      </c>
      <c r="T20" s="13" t="inlineStr">
        <is>
          <t>The Journal of Chemical Physics; Revista Mexicana de Física; Frontiers in Genetics; Physical review. E</t>
        </is>
      </c>
      <c r="U20" s="14" t="inlineStr">
        <is>
          <t>Verificado</t>
        </is>
      </c>
      <c r="V20" s="13" t="inlineStr"/>
    </row>
    <row r="21">
      <c r="A21" s="12" t="n">
        <v>399758</v>
      </c>
      <c r="B21" s="13" t="inlineStr">
        <is>
          <t>Mario Alberto González Medina</t>
        </is>
      </c>
      <c r="C21" s="12" t="inlineStr">
        <is>
          <t>0000-0002-8923-1491</t>
        </is>
      </c>
      <c r="D21" s="13" t="inlineStr">
        <is>
          <t>https://orcid.org/0000-0002-8923-1491</t>
        </is>
      </c>
      <c r="E21" s="13" t="inlineStr">
        <is>
          <t>OpenAlex + ORCID</t>
        </is>
      </c>
      <c r="F21" s="12" t="n">
        <v>22</v>
      </c>
      <c r="G21" s="12" t="n">
        <v>182</v>
      </c>
      <c r="H21" s="12" t="n">
        <v>8</v>
      </c>
      <c r="I21" s="12" t="n">
        <v>7</v>
      </c>
      <c r="J21" s="12" t="n">
        <v>1.17</v>
      </c>
      <c r="K21" s="12" t="n">
        <v>8.300000000000001</v>
      </c>
      <c r="L21" s="12" t="n">
        <v>21</v>
      </c>
      <c r="M21" s="12" t="n">
        <v>0</v>
      </c>
      <c r="N21" s="12" t="n">
        <v>1</v>
      </c>
      <c r="O21" s="12" t="n">
        <v>1</v>
      </c>
      <c r="P21" s="12" t="n">
        <v>2</v>
      </c>
      <c r="Q21" s="12" t="n">
        <v>4</v>
      </c>
      <c r="R21" s="12" t="n">
        <v>1</v>
      </c>
      <c r="S21" s="12" t="n">
        <v>12</v>
      </c>
      <c r="T21" s="13" t="inlineStr">
        <is>
          <t>Dilemas contemporáneos Educación Política y Valores; Contextos Educativos; Revista Guillermo de Ockham; RELIEVE</t>
        </is>
      </c>
      <c r="U21" s="14" t="inlineStr">
        <is>
          <t>Verificado</t>
        </is>
      </c>
      <c r="V21" s="13" t="inlineStr"/>
    </row>
    <row r="22">
      <c r="A22" s="12" t="n">
        <v>219610</v>
      </c>
      <c r="B22" s="13" t="inlineStr">
        <is>
          <t>Miguel Ángel Gracia Pinilla</t>
        </is>
      </c>
      <c r="C22" s="12" t="inlineStr">
        <is>
          <t>0000-0002-4716-4817</t>
        </is>
      </c>
      <c r="D22" s="13" t="inlineStr">
        <is>
          <t>https://orcid.org/0000-0002-4716-4817</t>
        </is>
      </c>
      <c r="E22" s="13" t="inlineStr">
        <is>
          <t>OpenAlex + ORCID</t>
        </is>
      </c>
      <c r="F22" s="12" t="n">
        <v>83</v>
      </c>
      <c r="G22" s="12" t="n">
        <v>2404</v>
      </c>
      <c r="H22" s="12" t="n">
        <v>29</v>
      </c>
      <c r="I22" s="12" t="n">
        <v>50</v>
      </c>
      <c r="J22" s="12" t="n">
        <v>4.6</v>
      </c>
      <c r="K22" s="12" t="n">
        <v>29</v>
      </c>
      <c r="L22" s="12" t="n">
        <v>75</v>
      </c>
      <c r="M22" s="12" t="n">
        <v>3</v>
      </c>
      <c r="N22" s="12" t="n">
        <v>3</v>
      </c>
      <c r="O22" s="12" t="n">
        <v>49</v>
      </c>
      <c r="P22" s="12" t="n">
        <v>18</v>
      </c>
      <c r="Q22" s="12" t="n">
        <v>0</v>
      </c>
      <c r="R22" s="12" t="n">
        <v>2</v>
      </c>
      <c r="S22" s="12" t="n">
        <v>11</v>
      </c>
      <c r="T22" s="13" t="inlineStr">
        <is>
          <t>Journal of Materials Science Materials in Electronics; Journal of environmental chemical engineering; Journal of Photochemistry and Photobiology A Chemistry; Environmental Research</t>
        </is>
      </c>
      <c r="U22" s="14" t="inlineStr">
        <is>
          <t>Verificado</t>
        </is>
      </c>
      <c r="V22" s="13" t="inlineStr"/>
    </row>
    <row r="23">
      <c r="A23" s="12" t="n">
        <v>271594</v>
      </c>
      <c r="B23" s="13" t="inlineStr">
        <is>
          <t>Carlos Alberto Guerrero Peña</t>
        </is>
      </c>
      <c r="C23" s="12" t="inlineStr">
        <is>
          <t>0000-0002-1113-7489</t>
        </is>
      </c>
      <c r="D23" s="13" t="inlineStr">
        <is>
          <t>https://orcid.org/0000-0002-1113-7489</t>
        </is>
      </c>
      <c r="E23" s="13" t="inlineStr">
        <is>
          <t>OpenAlex + ORCID</t>
        </is>
      </c>
      <c r="F23" s="12" t="n">
        <v>4</v>
      </c>
      <c r="G23" s="12" t="n">
        <v>2</v>
      </c>
      <c r="H23" s="12" t="n">
        <v>1</v>
      </c>
      <c r="I23" s="12" t="n">
        <v>0</v>
      </c>
      <c r="J23" s="12" t="n">
        <v>0.67</v>
      </c>
      <c r="K23" s="12" t="n">
        <v>0.5</v>
      </c>
      <c r="L23" s="12" t="n">
        <v>3</v>
      </c>
      <c r="M23" s="12" t="n">
        <v>0</v>
      </c>
      <c r="N23" s="12" t="n">
        <v>0</v>
      </c>
      <c r="O23" s="12" t="n">
        <v>1</v>
      </c>
      <c r="P23" s="12" t="n">
        <v>0</v>
      </c>
      <c r="Q23" s="12" t="n">
        <v>1</v>
      </c>
      <c r="R23" s="12" t="n">
        <v>0</v>
      </c>
      <c r="S23" s="12" t="n">
        <v>0</v>
      </c>
      <c r="T23" s="13" t="inlineStr">
        <is>
          <t>Optical Engineering; Ultrasound in Obstetrics and Gynecology</t>
        </is>
      </c>
      <c r="U23" s="14" t="inlineStr">
        <is>
          <t>Verificado (perfil fragmentado)</t>
        </is>
      </c>
      <c r="V23" s="13" t="inlineStr"/>
    </row>
    <row r="24">
      <c r="A24" s="12" t="n">
        <v>204897</v>
      </c>
      <c r="B24" s="13" t="inlineStr">
        <is>
          <t>Claudio Davet Gutiérrez Lazos</t>
        </is>
      </c>
      <c r="C24" s="12" t="inlineStr">
        <is>
          <t>0000-0002-5871-2276</t>
        </is>
      </c>
      <c r="D24" s="13" t="inlineStr">
        <is>
          <t>https://orcid.org/0000-0002-5871-2276</t>
        </is>
      </c>
      <c r="E24" s="13" t="inlineStr">
        <is>
          <t>OpenAlex + ORCID</t>
        </is>
      </c>
      <c r="F24" s="12" t="n">
        <v>29</v>
      </c>
      <c r="G24" s="12" t="n">
        <v>218</v>
      </c>
      <c r="H24" s="12" t="n">
        <v>9</v>
      </c>
      <c r="I24" s="12" t="n">
        <v>8</v>
      </c>
      <c r="J24" s="12" t="n">
        <v>2.75</v>
      </c>
      <c r="K24" s="12" t="n">
        <v>7.5</v>
      </c>
      <c r="L24" s="12" t="n">
        <v>25</v>
      </c>
      <c r="M24" s="12" t="n">
        <v>1</v>
      </c>
      <c r="N24" s="12" t="n">
        <v>1</v>
      </c>
      <c r="O24" s="12" t="n">
        <v>7</v>
      </c>
      <c r="P24" s="12" t="n">
        <v>14</v>
      </c>
      <c r="Q24" s="12" t="n">
        <v>1</v>
      </c>
      <c r="R24" s="12" t="n">
        <v>1</v>
      </c>
      <c r="S24" s="12" t="n">
        <v>4</v>
      </c>
      <c r="T24" s="13" t="inlineStr">
        <is>
          <t>Materials Research Express; Ceramics International; Journal of Nanotechnology; Beilstein Journal of Nanotechnology</t>
        </is>
      </c>
      <c r="U24" s="14" t="inlineStr">
        <is>
          <t>Verificado</t>
        </is>
      </c>
      <c r="V24" s="13" t="inlineStr"/>
    </row>
    <row r="25">
      <c r="A25" s="12" t="n">
        <v>70054</v>
      </c>
      <c r="B25" s="13" t="inlineStr">
        <is>
          <t>Francisco Hernández Cabrera</t>
        </is>
      </c>
      <c r="C25" s="12" t="inlineStr">
        <is>
          <t>0000-0003-1050-2218</t>
        </is>
      </c>
      <c r="D25" s="13" t="inlineStr">
        <is>
          <t>https://orcid.org/0000-0003-1050-2218</t>
        </is>
      </c>
      <c r="E25" s="13" t="inlineStr">
        <is>
          <t>OpenAlex + ORCID</t>
        </is>
      </c>
      <c r="F25" s="12" t="n">
        <v>24</v>
      </c>
      <c r="G25" s="12" t="n">
        <v>128</v>
      </c>
      <c r="H25" s="12" t="n">
        <v>6</v>
      </c>
      <c r="I25" s="12" t="n">
        <v>4</v>
      </c>
      <c r="J25" s="12" t="n">
        <v>1</v>
      </c>
      <c r="K25" s="12" t="n">
        <v>5.3</v>
      </c>
      <c r="L25" s="12" t="n">
        <v>19</v>
      </c>
      <c r="M25" s="12" t="n">
        <v>0</v>
      </c>
      <c r="N25" s="12" t="n">
        <v>0</v>
      </c>
      <c r="O25" s="12" t="n">
        <v>6</v>
      </c>
      <c r="P25" s="12" t="n">
        <v>6</v>
      </c>
      <c r="Q25" s="12" t="n">
        <v>1</v>
      </c>
      <c r="R25" s="12" t="n">
        <v>0</v>
      </c>
      <c r="S25" s="12" t="n">
        <v>10</v>
      </c>
      <c r="T25" s="13" t="inlineStr">
        <is>
          <t>Journal of Computational and Applied Mathematics; Frontiers in Applied Mathematics and Statistics; Drug Metabolism and Personalized Therapy; Instrumentation Science &amp; Technology</t>
        </is>
      </c>
      <c r="U25" s="14" t="inlineStr">
        <is>
          <t>Verificado</t>
        </is>
      </c>
      <c r="V25" s="13" t="inlineStr"/>
    </row>
    <row r="26">
      <c r="A26" s="12" t="n">
        <v>205756</v>
      </c>
      <c r="B26" s="13" t="inlineStr">
        <is>
          <t>Miguel Hernández González</t>
        </is>
      </c>
      <c r="C26" s="12" t="inlineStr">
        <is>
          <t>0000-0001-7445-314X</t>
        </is>
      </c>
      <c r="D26" s="13" t="inlineStr">
        <is>
          <t>https://orcid.org/0000-0001-7445-314X</t>
        </is>
      </c>
      <c r="E26" s="13" t="inlineStr">
        <is>
          <t>OpenAlex + ORCID</t>
        </is>
      </c>
      <c r="F26" s="12" t="n">
        <v>38</v>
      </c>
      <c r="G26" s="12" t="n">
        <v>400</v>
      </c>
      <c r="H26" s="12" t="n">
        <v>11</v>
      </c>
      <c r="I26" s="12" t="n">
        <v>13</v>
      </c>
      <c r="J26" s="12" t="n">
        <v>1.67</v>
      </c>
      <c r="K26" s="12" t="n">
        <v>10.5</v>
      </c>
      <c r="L26" s="12" t="n">
        <v>25</v>
      </c>
      <c r="M26" s="12" t="n">
        <v>1</v>
      </c>
      <c r="N26" s="12" t="n">
        <v>1</v>
      </c>
      <c r="O26" s="12" t="n">
        <v>13</v>
      </c>
      <c r="P26" s="12" t="n">
        <v>7</v>
      </c>
      <c r="Q26" s="12" t="n">
        <v>2</v>
      </c>
      <c r="R26" s="12" t="n">
        <v>0</v>
      </c>
      <c r="S26" s="12" t="n">
        <v>5</v>
      </c>
      <c r="T26" s="13" t="inlineStr">
        <is>
          <t>International Journal of Systems Science; Transactions of the Institute of Measurement and Control; Applied Soft Computing; Circuits Systems and Signal Processing</t>
        </is>
      </c>
      <c r="U26" s="14" t="inlineStr">
        <is>
          <t>Verificado</t>
        </is>
      </c>
      <c r="V26" s="13" t="inlineStr"/>
    </row>
    <row r="27">
      <c r="A27" s="12" t="n">
        <v>631346</v>
      </c>
      <c r="B27" s="13" t="inlineStr">
        <is>
          <t>Juanita Hernández López</t>
        </is>
      </c>
      <c r="C27" s="12" t="inlineStr">
        <is>
          <t>0000-0002-7301-1478</t>
        </is>
      </c>
      <c r="D27" s="13" t="inlineStr">
        <is>
          <t>https://orcid.org/0000-0002-7301-1478</t>
        </is>
      </c>
      <c r="E27" s="13" t="inlineStr">
        <is>
          <t>OpenAlex + ORCID</t>
        </is>
      </c>
      <c r="F27" s="12" t="n">
        <v>18</v>
      </c>
      <c r="G27" s="12" t="n">
        <v>90</v>
      </c>
      <c r="H27" s="12" t="n">
        <v>4</v>
      </c>
      <c r="I27" s="12" t="n">
        <v>4</v>
      </c>
      <c r="J27" s="12" t="n">
        <v>0.14</v>
      </c>
      <c r="K27" s="12" t="n">
        <v>5</v>
      </c>
      <c r="L27" s="12" t="n">
        <v>6</v>
      </c>
      <c r="M27" s="12" t="n">
        <v>0</v>
      </c>
      <c r="N27" s="12" t="n">
        <v>0</v>
      </c>
      <c r="O27" s="12" t="n">
        <v>6</v>
      </c>
      <c r="P27" s="12" t="n">
        <v>1</v>
      </c>
      <c r="Q27" s="12" t="n">
        <v>0</v>
      </c>
      <c r="R27" s="12" t="n">
        <v>1</v>
      </c>
      <c r="S27" s="12" t="n">
        <v>5</v>
      </c>
      <c r="T27" s="13" t="inlineStr">
        <is>
          <t>Cancer Research; Computer Methods and Programs in Biomedicine; Applied Soft Computing</t>
        </is>
      </c>
      <c r="U27" s="14" t="inlineStr">
        <is>
          <t>Verificado</t>
        </is>
      </c>
      <c r="V27" s="13" t="inlineStr"/>
    </row>
    <row r="28">
      <c r="A28" s="12" t="n">
        <v>206899</v>
      </c>
      <c r="B28" s="13" t="inlineStr">
        <is>
          <t>Diana Berenice Hernández Uresti</t>
        </is>
      </c>
      <c r="C28" s="12" t="inlineStr">
        <is>
          <t>0000-0003-0209-8374</t>
        </is>
      </c>
      <c r="D28" s="13" t="inlineStr">
        <is>
          <t>https://orcid.org/0000-0003-0209-8374</t>
        </is>
      </c>
      <c r="E28" s="13" t="inlineStr">
        <is>
          <t>OpenAlex + ORCID</t>
        </is>
      </c>
      <c r="F28" s="12" t="n">
        <v>36</v>
      </c>
      <c r="G28" s="12" t="n">
        <v>1209</v>
      </c>
      <c r="H28" s="12" t="n">
        <v>18</v>
      </c>
      <c r="I28" s="12" t="n">
        <v>21</v>
      </c>
      <c r="J28" s="12" t="n">
        <v>1</v>
      </c>
      <c r="K28" s="12" t="n">
        <v>33.6</v>
      </c>
      <c r="L28" s="12" t="n">
        <v>34</v>
      </c>
      <c r="M28" s="12" t="n">
        <v>1</v>
      </c>
      <c r="N28" s="12" t="n">
        <v>1</v>
      </c>
      <c r="O28" s="12" t="n">
        <v>15</v>
      </c>
      <c r="P28" s="12" t="n">
        <v>12</v>
      </c>
      <c r="Q28" s="12" t="n">
        <v>3</v>
      </c>
      <c r="R28" s="12" t="n">
        <v>0</v>
      </c>
      <c r="S28" s="12" t="n">
        <v>6</v>
      </c>
      <c r="T28" s="13" t="inlineStr">
        <is>
          <t>Research on Chemical Intermediates; Journal of Photochemistry and Photobiology A Chemistry; Journal of Materials Science Materials in Electronics; Ceramics International</t>
        </is>
      </c>
      <c r="U28" s="14" t="inlineStr">
        <is>
          <t>Verificado</t>
        </is>
      </c>
      <c r="V28" s="13" t="inlineStr"/>
    </row>
    <row r="29">
      <c r="A29" s="12" t="n">
        <v>513739</v>
      </c>
      <c r="B29" s="13" t="inlineStr">
        <is>
          <t>Juan de Dios Hernández Velázquez</t>
        </is>
      </c>
      <c r="C29" s="12" t="inlineStr">
        <is>
          <t>0000-0003-3949-9374</t>
        </is>
      </c>
      <c r="D29" s="13" t="inlineStr">
        <is>
          <t>https://orcid.org/0000-0003-3949-9374</t>
        </is>
      </c>
      <c r="E29" s="13" t="inlineStr">
        <is>
          <t>OpenAlex + ORCID</t>
        </is>
      </c>
      <c r="F29" s="12" t="n">
        <v>22</v>
      </c>
      <c r="G29" s="12" t="n">
        <v>96</v>
      </c>
      <c r="H29" s="12" t="n">
        <v>6</v>
      </c>
      <c r="I29" s="12" t="n">
        <v>3</v>
      </c>
      <c r="J29" s="12" t="n">
        <v>2.33</v>
      </c>
      <c r="K29" s="12" t="n">
        <v>4.4</v>
      </c>
      <c r="L29" s="12" t="n">
        <v>17</v>
      </c>
      <c r="M29" s="12" t="n">
        <v>4</v>
      </c>
      <c r="N29" s="12" t="n">
        <v>0</v>
      </c>
      <c r="O29" s="12" t="n">
        <v>8</v>
      </c>
      <c r="P29" s="12" t="n">
        <v>3</v>
      </c>
      <c r="Q29" s="12" t="n">
        <v>1</v>
      </c>
      <c r="R29" s="12" t="n">
        <v>1</v>
      </c>
      <c r="S29" s="12" t="n">
        <v>9</v>
      </c>
      <c r="T29" s="13" t="inlineStr">
        <is>
          <t>Journal of Molecular Liquids; The Journal of Chemical Physics; Journal of Polymer Research; The Journal of Physical Chemistry A</t>
        </is>
      </c>
      <c r="U29" s="14" t="inlineStr">
        <is>
          <t>Verificado</t>
        </is>
      </c>
      <c r="V29" s="13" t="inlineStr"/>
    </row>
    <row r="30">
      <c r="A30" s="12" t="n">
        <v>217423</v>
      </c>
      <c r="B30" s="13" t="inlineStr">
        <is>
          <t>Omar Jorge Ibarra Rojas</t>
        </is>
      </c>
      <c r="C30" s="12" t="inlineStr">
        <is>
          <t>0000-0003-4935-4048</t>
        </is>
      </c>
      <c r="D30" s="13" t="inlineStr">
        <is>
          <t>https://orcid.org/0000-0003-4935-4048</t>
        </is>
      </c>
      <c r="E30" s="13" t="inlineStr">
        <is>
          <t>OpenAlex + ORCID</t>
        </is>
      </c>
      <c r="F30" s="12" t="n">
        <v>33</v>
      </c>
      <c r="G30" s="12" t="n">
        <v>1591</v>
      </c>
      <c r="H30" s="12" t="n">
        <v>15</v>
      </c>
      <c r="I30" s="12" t="n">
        <v>19</v>
      </c>
      <c r="J30" s="12" t="n">
        <v>1.33</v>
      </c>
      <c r="K30" s="12" t="n">
        <v>48.2</v>
      </c>
      <c r="L30" s="12" t="n">
        <v>26</v>
      </c>
      <c r="M30" s="12" t="n">
        <v>3</v>
      </c>
      <c r="N30" s="12" t="n">
        <v>3</v>
      </c>
      <c r="O30" s="12" t="n">
        <v>21</v>
      </c>
      <c r="P30" s="12" t="n">
        <v>2</v>
      </c>
      <c r="Q30" s="12" t="n">
        <v>1</v>
      </c>
      <c r="R30" s="12" t="n">
        <v>1</v>
      </c>
      <c r="S30" s="12" t="n">
        <v>7</v>
      </c>
      <c r="T30" s="13" t="inlineStr">
        <is>
          <t>Transportation Research Part B Methodological; Transportmetrica A Transport Science; European Journal of Operational Research; Socio-Economic Planning Sciences</t>
        </is>
      </c>
      <c r="U30" s="14" t="inlineStr">
        <is>
          <t>Verificado</t>
        </is>
      </c>
      <c r="V30" s="13" t="inlineStr"/>
    </row>
    <row r="31">
      <c r="A31" s="12" t="n">
        <v>87394</v>
      </c>
      <c r="B31" s="13" t="inlineStr">
        <is>
          <t>Manuel Alejandro Jiménez Lizárraga</t>
        </is>
      </c>
      <c r="C31" s="12" t="inlineStr">
        <is>
          <t>0000-0002-1071-220X</t>
        </is>
      </c>
      <c r="D31" s="13" t="inlineStr">
        <is>
          <t>https://orcid.org/0000-0002-1071-220X</t>
        </is>
      </c>
      <c r="E31" s="13" t="inlineStr">
        <is>
          <t>OpenAlex + ORCID</t>
        </is>
      </c>
      <c r="F31" s="12" t="n">
        <v>78</v>
      </c>
      <c r="G31" s="12" t="n">
        <v>336</v>
      </c>
      <c r="H31" s="12" t="n">
        <v>9</v>
      </c>
      <c r="I31" s="12" t="n">
        <v>9</v>
      </c>
      <c r="J31" s="12" t="n">
        <v>0.5600000000000001</v>
      </c>
      <c r="K31" s="12" t="n">
        <v>4.3</v>
      </c>
      <c r="L31" s="12" t="n">
        <v>46</v>
      </c>
      <c r="M31" s="12" t="n">
        <v>0</v>
      </c>
      <c r="N31" s="12" t="n">
        <v>1</v>
      </c>
      <c r="O31" s="12" t="n">
        <v>13</v>
      </c>
      <c r="P31" s="12" t="n">
        <v>15</v>
      </c>
      <c r="Q31" s="12" t="n">
        <v>1</v>
      </c>
      <c r="R31" s="12" t="n">
        <v>0</v>
      </c>
      <c r="S31" s="12" t="n">
        <v>28</v>
      </c>
      <c r="T31" s="13" t="inlineStr">
        <is>
          <t>International Journal of Systems Science; Cybernetics &amp; Systems; Journal of the Franklin Institute; Optimal Control Applications and Methods</t>
        </is>
      </c>
      <c r="U31" s="14" t="inlineStr">
        <is>
          <t>Verificado</t>
        </is>
      </c>
      <c r="V31" s="13" t="inlineStr"/>
    </row>
    <row r="32">
      <c r="A32" s="12" t="n">
        <v>26011</v>
      </c>
      <c r="B32" s="13" t="inlineStr">
        <is>
          <t>Viacheslav Kalashnikov</t>
        </is>
      </c>
      <c r="C32" s="12" t="inlineStr">
        <is>
          <t>0000-0001-6747-580X</t>
        </is>
      </c>
      <c r="D32" s="13" t="inlineStr">
        <is>
          <t>https://orcid.org/0000-0001-6747-580X</t>
        </is>
      </c>
      <c r="E32" s="13" t="inlineStr">
        <is>
          <t>OpenAlex + ORCID</t>
        </is>
      </c>
      <c r="F32" s="12" t="n">
        <v>133</v>
      </c>
      <c r="G32" s="12" t="n">
        <v>1612</v>
      </c>
      <c r="H32" s="12" t="n">
        <v>20</v>
      </c>
      <c r="I32" s="12" t="n">
        <v>37</v>
      </c>
      <c r="J32" s="12" t="n">
        <v>0</v>
      </c>
      <c r="K32" s="12" t="n">
        <v>12.1</v>
      </c>
      <c r="L32" s="12" t="n">
        <v>59</v>
      </c>
      <c r="M32" s="12" t="n">
        <v>3</v>
      </c>
      <c r="N32" s="12" t="n">
        <v>44</v>
      </c>
      <c r="O32" s="12" t="n">
        <v>19</v>
      </c>
      <c r="P32" s="12" t="n">
        <v>13</v>
      </c>
      <c r="Q32" s="12" t="n">
        <v>17</v>
      </c>
      <c r="R32" s="12" t="n">
        <v>10</v>
      </c>
      <c r="S32" s="12" t="n">
        <v>46</v>
      </c>
      <c r="T32" s="13" t="inlineStr">
        <is>
          <t>Nonconvex optimization and its applications; Energy systems; Mathematical Problems in Engineering; European Journal of Operational Research</t>
        </is>
      </c>
      <c r="U32" s="14" t="inlineStr">
        <is>
          <t>Verificado (perfil fragmentado)</t>
        </is>
      </c>
      <c r="V32" s="13" t="inlineStr"/>
    </row>
    <row r="33">
      <c r="A33" s="12" t="n">
        <v>120930</v>
      </c>
      <c r="B33" s="13" t="inlineStr">
        <is>
          <t>Nataliya Kalashnykova</t>
        </is>
      </c>
      <c r="C33" s="12" t="inlineStr">
        <is>
          <t>0000-0002-2314-3106</t>
        </is>
      </c>
      <c r="D33" s="13" t="inlineStr">
        <is>
          <t>https://orcid.org/0000-0002-2314-3106</t>
        </is>
      </c>
      <c r="E33" s="13" t="inlineStr">
        <is>
          <t>OpenAlex + ORCID</t>
        </is>
      </c>
      <c r="F33" s="12" t="n">
        <v>52</v>
      </c>
      <c r="G33" s="12" t="n">
        <v>749</v>
      </c>
      <c r="H33" s="12" t="n">
        <v>10</v>
      </c>
      <c r="I33" s="12" t="n">
        <v>10</v>
      </c>
      <c r="J33" s="12" t="n">
        <v>0</v>
      </c>
      <c r="K33" s="12" t="n">
        <v>14.4</v>
      </c>
      <c r="L33" s="12" t="n">
        <v>22</v>
      </c>
      <c r="M33" s="12" t="n">
        <v>0</v>
      </c>
      <c r="N33" s="12" t="n">
        <v>13</v>
      </c>
      <c r="O33" s="12" t="n">
        <v>6</v>
      </c>
      <c r="P33" s="12" t="n">
        <v>12</v>
      </c>
      <c r="Q33" s="12" t="n">
        <v>3</v>
      </c>
      <c r="R33" s="12" t="n">
        <v>4</v>
      </c>
      <c r="S33" s="12" t="n">
        <v>16</v>
      </c>
      <c r="T33" s="13" t="inlineStr">
        <is>
          <t>Energy systems; Procedia Computer Science; European Journal of Operational Research; Mathematical Problems in Engineering</t>
        </is>
      </c>
      <c r="U33" s="14" t="inlineStr">
        <is>
          <t>Verificado (2 perfiles OpenAlex)</t>
        </is>
      </c>
      <c r="V33" s="13" t="inlineStr"/>
    </row>
    <row r="34">
      <c r="A34" s="12" t="n">
        <v>25984</v>
      </c>
      <c r="B34" s="13" t="inlineStr">
        <is>
          <t>Oxana Vasilievna Kharissova</t>
        </is>
      </c>
      <c r="C34" s="12" t="inlineStr">
        <is>
          <t>0000-0002-0795-9420</t>
        </is>
      </c>
      <c r="D34" s="13" t="inlineStr">
        <is>
          <t>https://orcid.org/0000-0002-0795-9420</t>
        </is>
      </c>
      <c r="E34" s="13" t="inlineStr">
        <is>
          <t>OpenAlex + ORCID</t>
        </is>
      </c>
      <c r="F34" s="12" t="n">
        <v>139</v>
      </c>
      <c r="G34" s="12" t="n">
        <v>4588</v>
      </c>
      <c r="H34" s="12" t="n">
        <v>25</v>
      </c>
      <c r="I34" s="12" t="n">
        <v>36</v>
      </c>
      <c r="J34" s="12" t="n">
        <v>2.33</v>
      </c>
      <c r="K34" s="12" t="n">
        <v>33</v>
      </c>
      <c r="L34" s="12" t="n">
        <v>101</v>
      </c>
      <c r="M34" s="12" t="n">
        <v>2</v>
      </c>
      <c r="N34" s="12" t="n">
        <v>27</v>
      </c>
      <c r="O34" s="12" t="n">
        <v>16</v>
      </c>
      <c r="P34" s="12" t="n">
        <v>14</v>
      </c>
      <c r="Q34" s="12" t="n">
        <v>16</v>
      </c>
      <c r="R34" s="12" t="n">
        <v>2</v>
      </c>
      <c r="S34" s="12" t="n">
        <v>60</v>
      </c>
      <c r="T34" s="13" t="inlineStr">
        <is>
          <t>Synthesis and Reactivity in Inorganic Metal-Organic and Nano-Metal Chemistry; Recent Patents on Nanotechnology; RSC Advances; Journal of Coordination Chemistry</t>
        </is>
      </c>
      <c r="U34" s="14" t="inlineStr">
        <is>
          <t>Verificado (2 perfiles OpenAlex; puede subestimar)</t>
        </is>
      </c>
      <c r="V34" s="13" t="inlineStr"/>
    </row>
    <row r="35">
      <c r="A35" s="12" t="n">
        <v>179496</v>
      </c>
      <c r="B35" s="13" t="inlineStr">
        <is>
          <t>Yogesh  Kumar</t>
        </is>
      </c>
      <c r="C35" s="12" t="inlineStr">
        <is>
          <t>0000-0003-4478-0048</t>
        </is>
      </c>
      <c r="D35" s="13" t="inlineStr">
        <is>
          <t>https://orcid.org/0000-0003-4478-0048</t>
        </is>
      </c>
      <c r="E35" s="13" t="inlineStr">
        <is>
          <t>OpenAlex + ORCID</t>
        </is>
      </c>
      <c r="F35" s="12" t="n">
        <v>46</v>
      </c>
      <c r="G35" s="12" t="n">
        <v>942</v>
      </c>
      <c r="H35" s="12" t="n">
        <v>17</v>
      </c>
      <c r="I35" s="12" t="n">
        <v>19</v>
      </c>
      <c r="J35" s="12" t="n">
        <v>7.25</v>
      </c>
      <c r="K35" s="12" t="n">
        <v>20.5</v>
      </c>
      <c r="L35" s="12" t="n">
        <v>36</v>
      </c>
      <c r="M35" s="12" t="n">
        <v>2</v>
      </c>
      <c r="N35" s="12" t="n">
        <v>4</v>
      </c>
      <c r="O35" s="12" t="n">
        <v>20</v>
      </c>
      <c r="P35" s="12" t="n">
        <v>10</v>
      </c>
      <c r="Q35" s="12" t="n">
        <v>1</v>
      </c>
      <c r="R35" s="12" t="n">
        <v>3</v>
      </c>
      <c r="S35" s="12" t="n">
        <v>8</v>
      </c>
      <c r="T35" s="13" t="inlineStr">
        <is>
          <t>Solar Energy Materials and Solar Cells; Optical Materials; Ceramics International; Nanoscale Research Letters</t>
        </is>
      </c>
      <c r="U35" s="16" t="inlineStr">
        <is>
          <t>Verificado (nombre comun, revisar)</t>
        </is>
      </c>
      <c r="V35" s="13" t="inlineStr"/>
    </row>
    <row r="36">
      <c r="A36" s="12" t="n">
        <v>231409</v>
      </c>
      <c r="B36" s="13" t="inlineStr">
        <is>
          <t>Héctor Manuel Leija Gutiérrez</t>
        </is>
      </c>
      <c r="C36" s="12" t="inlineStr">
        <is>
          <t>0000-0003-3547-7063</t>
        </is>
      </c>
      <c r="D36" s="13" t="inlineStr">
        <is>
          <t>https://orcid.org/0000-0003-3547-7063</t>
        </is>
      </c>
      <c r="E36" s="13" t="inlineStr">
        <is>
          <t>OpenAlex + ORCID</t>
        </is>
      </c>
      <c r="F36" s="12" t="n">
        <v>13</v>
      </c>
      <c r="G36" s="12" t="n">
        <v>187</v>
      </c>
      <c r="H36" s="12" t="n">
        <v>6</v>
      </c>
      <c r="I36" s="12" t="n">
        <v>5</v>
      </c>
      <c r="J36" s="12" t="n">
        <v>0</v>
      </c>
      <c r="K36" s="12" t="n">
        <v>14.4</v>
      </c>
      <c r="L36" s="12" t="n">
        <v>13</v>
      </c>
      <c r="M36" s="12" t="n">
        <v>0</v>
      </c>
      <c r="N36" s="12" t="n">
        <v>0</v>
      </c>
      <c r="O36" s="12" t="n">
        <v>3</v>
      </c>
      <c r="P36" s="12" t="n">
        <v>5</v>
      </c>
      <c r="Q36" s="12" t="n">
        <v>1</v>
      </c>
      <c r="R36" s="12" t="n">
        <v>0</v>
      </c>
      <c r="S36" s="12" t="n">
        <v>4</v>
      </c>
      <c r="T36" s="13" t="inlineStr">
        <is>
          <t>Journal of Environmental Science and Health Part B; MRS Communications; J. mechanical behavior of biomedical materials; Synthesis and Reactivity in Inorganic Chemistry</t>
        </is>
      </c>
      <c r="U36" s="14" t="inlineStr">
        <is>
          <t>Verificado</t>
        </is>
      </c>
      <c r="V36" s="13" t="inlineStr"/>
    </row>
    <row r="37">
      <c r="A37" s="12" t="n">
        <v>479737</v>
      </c>
      <c r="B37" s="13" t="inlineStr">
        <is>
          <t>José Apolinar Loyola Rodríguez</t>
        </is>
      </c>
      <c r="C37" s="12" t="inlineStr">
        <is>
          <t>0009-0008-6068-5052</t>
        </is>
      </c>
      <c r="D37" s="13" t="inlineStr">
        <is>
          <t>https://orcid.org/0009-0008-6068-5052</t>
        </is>
      </c>
      <c r="E37" s="13" t="inlineStr">
        <is>
          <t>ORCID (registro)</t>
        </is>
      </c>
      <c r="F37" s="12" t="n"/>
      <c r="G37" s="12" t="n"/>
      <c r="H37" s="12" t="n"/>
      <c r="I37" s="12" t="n"/>
      <c r="J37" s="12" t="n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3" t="inlineStr"/>
      <c r="U37" s="16" t="inlineStr">
        <is>
          <t>ORCID hallado; sin perfil en OpenAlex (revisar WoS/Scopus)</t>
        </is>
      </c>
      <c r="V37" s="13" t="inlineStr">
        <is>
          <t>Sin perfil en OpenAlex; revisar en WoS/Scopus</t>
        </is>
      </c>
    </row>
    <row r="38">
      <c r="A38" s="12" t="n">
        <v>215416</v>
      </c>
      <c r="B38" s="13" t="inlineStr">
        <is>
          <t>Carlos Luna Criado</t>
        </is>
      </c>
      <c r="C38" s="12" t="inlineStr">
        <is>
          <t>0000-0002-0149-9814</t>
        </is>
      </c>
      <c r="D38" s="13" t="inlineStr">
        <is>
          <t>https://orcid.org/0000-0002-0149-9814</t>
        </is>
      </c>
      <c r="E38" s="13" t="inlineStr">
        <is>
          <t>OpenAlex + ORCID</t>
        </is>
      </c>
      <c r="F38" s="12" t="n">
        <v>8</v>
      </c>
      <c r="G38" s="12" t="n">
        <v>7</v>
      </c>
      <c r="H38" s="12" t="n">
        <v>2</v>
      </c>
      <c r="I38" s="12" t="n">
        <v>0</v>
      </c>
      <c r="J38" s="12" t="n">
        <v>0</v>
      </c>
      <c r="K38" s="12" t="n">
        <v>0.9</v>
      </c>
      <c r="L38" s="12" t="n">
        <v>7</v>
      </c>
      <c r="M38" s="12" t="n">
        <v>0</v>
      </c>
      <c r="N38" s="12" t="n">
        <v>0</v>
      </c>
      <c r="O38" s="12" t="n">
        <v>1</v>
      </c>
      <c r="P38" s="12" t="n">
        <v>0</v>
      </c>
      <c r="Q38" s="12" t="n">
        <v>0</v>
      </c>
      <c r="R38" s="12" t="n">
        <v>0</v>
      </c>
      <c r="S38" s="12" t="n">
        <v>4</v>
      </c>
      <c r="T38" s="13" t="inlineStr">
        <is>
          <t>Journal of Nanomedicine Research; Ciencia UANL; European Journal of Internal Medicine</t>
        </is>
      </c>
      <c r="U38" s="16" t="inlineStr">
        <is>
          <t>Verificado (ORCID; nombre comun, revisar)</t>
        </is>
      </c>
      <c r="V38" s="13" t="inlineStr"/>
    </row>
    <row r="39">
      <c r="A39" s="12" t="n">
        <v>36262</v>
      </c>
      <c r="B39" s="13" t="inlineStr">
        <is>
          <t>Edgar Martínez Guerra</t>
        </is>
      </c>
      <c r="C39" s="12" t="inlineStr">
        <is>
          <t>0000-0002-4366-9906</t>
        </is>
      </c>
      <c r="D39" s="13" t="inlineStr">
        <is>
          <t>https://orcid.org/0000-0002-4366-9906</t>
        </is>
      </c>
      <c r="E39" s="13" t="inlineStr">
        <is>
          <t>OpenAlex + ORCID</t>
        </is>
      </c>
      <c r="F39" s="12" t="n">
        <v>23</v>
      </c>
      <c r="G39" s="12" t="n">
        <v>97</v>
      </c>
      <c r="H39" s="12" t="n">
        <v>4</v>
      </c>
      <c r="I39" s="12" t="n">
        <v>2</v>
      </c>
      <c r="J39" s="12" t="n">
        <v>3.17</v>
      </c>
      <c r="K39" s="12" t="n">
        <v>4.2</v>
      </c>
      <c r="L39" s="12" t="n">
        <v>16</v>
      </c>
      <c r="M39" s="12" t="n">
        <v>1</v>
      </c>
      <c r="N39" s="12" t="n">
        <v>0</v>
      </c>
      <c r="O39" s="12" t="n">
        <v>7</v>
      </c>
      <c r="P39" s="12" t="n">
        <v>0</v>
      </c>
      <c r="Q39" s="12" t="n">
        <v>4</v>
      </c>
      <c r="R39" s="12" t="n">
        <v>0</v>
      </c>
      <c r="S39" s="12" t="n">
        <v>8</v>
      </c>
      <c r="T39" s="13" t="inlineStr">
        <is>
          <t>Bulletin of the American Physical Society; ACS Omega; Optical Engineering; ACS Applied Electronic Materials</t>
        </is>
      </c>
      <c r="U39" s="14" t="inlineStr">
        <is>
          <t>Verificado</t>
        </is>
      </c>
      <c r="V39" s="13" t="inlineStr"/>
    </row>
    <row r="40">
      <c r="A40" s="12" t="n">
        <v>1353073</v>
      </c>
      <c r="B40" s="13" t="inlineStr">
        <is>
          <t>Atilano Martínez Huerta</t>
        </is>
      </c>
      <c r="C40" s="12" t="inlineStr">
        <is>
          <t>0009-0009-4994-759X</t>
        </is>
      </c>
      <c r="D40" s="13" t="inlineStr">
        <is>
          <t>https://orcid.org/0009-0009-4994-759X</t>
        </is>
      </c>
      <c r="E40" s="13" t="inlineStr">
        <is>
          <t>OpenAlex + ORCID</t>
        </is>
      </c>
      <c r="F40" s="12" t="n">
        <v>5</v>
      </c>
      <c r="G40" s="12" t="n">
        <v>16</v>
      </c>
      <c r="H40" s="12" t="n">
        <v>3</v>
      </c>
      <c r="I40" s="12" t="n">
        <v>0</v>
      </c>
      <c r="J40" s="12" t="n">
        <v>2</v>
      </c>
      <c r="K40" s="12" t="n">
        <v>3.2</v>
      </c>
      <c r="L40" s="12" t="n">
        <v>4</v>
      </c>
      <c r="M40" s="12" t="n">
        <v>1</v>
      </c>
      <c r="N40" s="12" t="n">
        <v>0</v>
      </c>
      <c r="O40" s="12" t="n">
        <v>1</v>
      </c>
      <c r="P40" s="12" t="n">
        <v>1</v>
      </c>
      <c r="Q40" s="12" t="n">
        <v>0</v>
      </c>
      <c r="R40" s="12" t="n">
        <v>2</v>
      </c>
      <c r="S40" s="12" t="n">
        <v>1</v>
      </c>
      <c r="T40" s="13" t="inlineStr">
        <is>
          <t>Mathematics; ACS Omega; Computación y Sistemas; Portugaliae electrochimica acta</t>
        </is>
      </c>
      <c r="U40" s="14" t="inlineStr">
        <is>
          <t>Verificado</t>
        </is>
      </c>
      <c r="V40" s="13" t="inlineStr"/>
    </row>
    <row r="41">
      <c r="A41" s="12" t="n">
        <v>1098654</v>
      </c>
      <c r="B41" s="13" t="inlineStr">
        <is>
          <t>Edna María Medina Morón</t>
        </is>
      </c>
      <c r="C41" s="12" t="inlineStr">
        <is>
          <t>0000-0001-6495-5728</t>
        </is>
      </c>
      <c r="D41" s="13" t="inlineStr">
        <is>
          <t>https://orcid.org/0000-0001-6495-5728</t>
        </is>
      </c>
      <c r="E41" s="13" t="inlineStr">
        <is>
          <t>OpenAlex + ORCID</t>
        </is>
      </c>
      <c r="F41" s="12" t="n">
        <v>4</v>
      </c>
      <c r="G41" s="12" t="n">
        <v>18</v>
      </c>
      <c r="H41" s="12" t="n">
        <v>2</v>
      </c>
      <c r="I41" s="12" t="n">
        <v>1</v>
      </c>
      <c r="J41" s="12" t="n">
        <v>5.33</v>
      </c>
      <c r="K41" s="12" t="n">
        <v>4.5</v>
      </c>
      <c r="L41" s="12" t="n">
        <v>4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4</v>
      </c>
      <c r="T41" s="13" t="inlineStr">
        <is>
          <t>Revista Docentes 2 0; Ciencia Latina Revista Científica Multidisciplinar; Horizontes Revista de Investigación</t>
        </is>
      </c>
      <c r="U41" s="14" t="inlineStr">
        <is>
          <t>Verificado (perfil pequeno)</t>
        </is>
      </c>
      <c r="V41" s="13" t="inlineStr"/>
    </row>
    <row r="42">
      <c r="A42" s="12" t="n">
        <v>31086</v>
      </c>
      <c r="B42" s="13" t="inlineStr">
        <is>
          <t>Sergio Javier Mejía Rosales</t>
        </is>
      </c>
      <c r="C42" s="12" t="inlineStr">
        <is>
          <t>0000-0003-0053-2632</t>
        </is>
      </c>
      <c r="D42" s="13" t="inlineStr">
        <is>
          <t>https://orcid.org/0000-0003-0053-2632</t>
        </is>
      </c>
      <c r="E42" s="13" t="inlineStr">
        <is>
          <t>OpenAlex + ORCID</t>
        </is>
      </c>
      <c r="F42" s="12" t="n">
        <v>97</v>
      </c>
      <c r="G42" s="12" t="n">
        <v>1698</v>
      </c>
      <c r="H42" s="12" t="n">
        <v>23</v>
      </c>
      <c r="I42" s="12" t="n">
        <v>39</v>
      </c>
      <c r="J42" s="12" t="n">
        <v>1.11</v>
      </c>
      <c r="K42" s="12" t="n">
        <v>17.5</v>
      </c>
      <c r="L42" s="12" t="n">
        <v>79</v>
      </c>
      <c r="M42" s="12" t="n">
        <v>6</v>
      </c>
      <c r="N42" s="12" t="n">
        <v>10</v>
      </c>
      <c r="O42" s="12" t="n">
        <v>23</v>
      </c>
      <c r="P42" s="12" t="n">
        <v>21</v>
      </c>
      <c r="Q42" s="12" t="n">
        <v>8</v>
      </c>
      <c r="R42" s="12" t="n">
        <v>3</v>
      </c>
      <c r="S42" s="12" t="n">
        <v>39</v>
      </c>
      <c r="T42" s="13" t="inlineStr">
        <is>
          <t>The Journal of Physical Chemistry C; Nanoscale; Faraday Discussions; Journal of Nanoparticle Research</t>
        </is>
      </c>
      <c r="U42" s="14" t="inlineStr">
        <is>
          <t>Verificado</t>
        </is>
      </c>
      <c r="V42" s="13" t="inlineStr"/>
    </row>
    <row r="43">
      <c r="A43" s="12" t="n">
        <v>202435</v>
      </c>
      <c r="B43" s="13" t="inlineStr">
        <is>
          <t>Jorge Luis Menchaca Arredondo</t>
        </is>
      </c>
      <c r="C43" s="12" t="inlineStr">
        <is>
          <t>0000-0001-6809-3790</t>
        </is>
      </c>
      <c r="D43" s="13" t="inlineStr">
        <is>
          <t>https://orcid.org/0000-0001-6809-3790</t>
        </is>
      </c>
      <c r="E43" s="13" t="inlineStr">
        <is>
          <t>OpenAlex + ORCID</t>
        </is>
      </c>
      <c r="F43" s="12" t="n">
        <v>35</v>
      </c>
      <c r="G43" s="12" t="n">
        <v>458</v>
      </c>
      <c r="H43" s="12" t="n">
        <v>13</v>
      </c>
      <c r="I43" s="12" t="n">
        <v>15</v>
      </c>
      <c r="J43" s="12" t="n">
        <v>1.2</v>
      </c>
      <c r="K43" s="12" t="n">
        <v>13.1</v>
      </c>
      <c r="L43" s="12" t="n">
        <v>32</v>
      </c>
      <c r="M43" s="12" t="n">
        <v>2</v>
      </c>
      <c r="N43" s="12" t="n">
        <v>0</v>
      </c>
      <c r="O43" s="12" t="n">
        <v>12</v>
      </c>
      <c r="P43" s="12" t="n">
        <v>8</v>
      </c>
      <c r="Q43" s="12" t="n">
        <v>2</v>
      </c>
      <c r="R43" s="12" t="n">
        <v>1</v>
      </c>
      <c r="S43" s="12" t="n">
        <v>10</v>
      </c>
      <c r="T43" s="13" t="inlineStr">
        <is>
          <t>J. mechanical behavior of biomedical materials; International Journal of Molecular Sciences; Biomacromolecules; Biomechanics and Modeling in Mechanobiology</t>
        </is>
      </c>
      <c r="U43" s="14" t="inlineStr">
        <is>
          <t>Verificado (indexado sin 'Arredondo')</t>
        </is>
      </c>
      <c r="V43" s="13" t="inlineStr"/>
    </row>
    <row r="44">
      <c r="A44" s="12" t="n">
        <v>81182</v>
      </c>
      <c r="B44" s="13" t="inlineStr">
        <is>
          <t>Raquel Mendoza Reséndiz</t>
        </is>
      </c>
      <c r="C44" s="12" t="inlineStr"/>
      <c r="D44" s="13" t="inlineStr"/>
      <c r="E44" s="13" t="inlineStr">
        <is>
          <t>-</t>
        </is>
      </c>
      <c r="F44" s="12" t="n"/>
      <c r="G44" s="12" t="n"/>
      <c r="H44" s="12" t="n"/>
      <c r="I44" s="12" t="n"/>
      <c r="J44" s="12" t="n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3" t="inlineStr"/>
      <c r="U44" s="15" t="inlineStr">
        <is>
          <t>No encontrado - revisar en WoS/Scopus</t>
        </is>
      </c>
      <c r="V44" s="13" t="inlineStr">
        <is>
          <t>Sin perfil en OpenAlex; revisar en WoS/Scopus</t>
        </is>
      </c>
    </row>
    <row r="45">
      <c r="A45" s="12" t="n">
        <v>120820</v>
      </c>
      <c r="B45" s="13" t="inlineStr">
        <is>
          <t>José Rubén Morones Ibarra</t>
        </is>
      </c>
      <c r="C45" s="12" t="inlineStr">
        <is>
          <t>0000-0003-0219-3064</t>
        </is>
      </c>
      <c r="D45" s="13" t="inlineStr">
        <is>
          <t>https://orcid.org/0000-0003-0219-3064</t>
        </is>
      </c>
      <c r="E45" s="13" t="inlineStr">
        <is>
          <t>OpenAlex + ORCID</t>
        </is>
      </c>
      <c r="F45" s="12" t="n">
        <v>15</v>
      </c>
      <c r="G45" s="12" t="n">
        <v>13</v>
      </c>
      <c r="H45" s="12" t="n">
        <v>2</v>
      </c>
      <c r="I45" s="12" t="n">
        <v>0</v>
      </c>
      <c r="J45" s="12" t="n">
        <v>0</v>
      </c>
      <c r="K45" s="12" t="n">
        <v>0.9</v>
      </c>
      <c r="L45" s="12" t="n">
        <v>12</v>
      </c>
      <c r="M45" s="12" t="n">
        <v>2</v>
      </c>
      <c r="N45" s="12" t="n">
        <v>0</v>
      </c>
      <c r="O45" s="12" t="n">
        <v>1</v>
      </c>
      <c r="P45" s="12" t="n">
        <v>1</v>
      </c>
      <c r="Q45" s="12" t="n">
        <v>4</v>
      </c>
      <c r="R45" s="12" t="n">
        <v>0</v>
      </c>
      <c r="S45" s="12" t="n">
        <v>8</v>
      </c>
      <c r="T45" s="13" t="inlineStr">
        <is>
          <t>Ingenierias; International Journal of Modern Physics A; Universe; Particles</t>
        </is>
      </c>
      <c r="U45" s="14" t="inlineStr">
        <is>
          <t>Verificado (perfil muy fragmentado; subestima)</t>
        </is>
      </c>
      <c r="V45" s="13" t="inlineStr"/>
    </row>
    <row r="46">
      <c r="A46" s="12" t="n">
        <v>290475</v>
      </c>
      <c r="B46" s="13" t="inlineStr">
        <is>
          <t>Yosefat Nava Alemán</t>
        </is>
      </c>
      <c r="C46" s="12" t="inlineStr">
        <is>
          <t>0000-0003-1182-2918</t>
        </is>
      </c>
      <c r="D46" s="13" t="inlineStr">
        <is>
          <t>https://orcid.org/0000-0003-1182-2918</t>
        </is>
      </c>
      <c r="E46" s="13" t="inlineStr">
        <is>
          <t>OpenAlex + ORCID</t>
        </is>
      </c>
      <c r="F46" s="12" t="n">
        <v>5</v>
      </c>
      <c r="G46" s="12" t="n">
        <v>6</v>
      </c>
      <c r="H46" s="12" t="n">
        <v>2</v>
      </c>
      <c r="I46" s="12" t="n">
        <v>0</v>
      </c>
      <c r="J46" s="12" t="n">
        <v>0</v>
      </c>
      <c r="K46" s="12" t="n">
        <v>1.2</v>
      </c>
      <c r="L46" s="12" t="n">
        <v>2</v>
      </c>
      <c r="M46" s="12" t="n">
        <v>0</v>
      </c>
      <c r="N46" s="12" t="n">
        <v>0</v>
      </c>
      <c r="O46" s="12" t="n">
        <v>1</v>
      </c>
      <c r="P46" s="12" t="n">
        <v>0</v>
      </c>
      <c r="Q46" s="12" t="n">
        <v>0</v>
      </c>
      <c r="R46" s="12" t="n">
        <v>0</v>
      </c>
      <c r="S46" s="12" t="n">
        <v>0</v>
      </c>
      <c r="T46" s="13" t="inlineStr">
        <is>
          <t>Journal of Process Control</t>
        </is>
      </c>
      <c r="U46" s="14" t="inlineStr">
        <is>
          <t>Verificado (perfil pequeno)</t>
        </is>
      </c>
      <c r="V46" s="13" t="inlineStr"/>
    </row>
    <row r="47">
      <c r="A47" s="12" t="n">
        <v>102079</v>
      </c>
      <c r="B47" s="13" t="inlineStr">
        <is>
          <t>Sergio Alberto Obregón Alfaro</t>
        </is>
      </c>
      <c r="C47" s="12" t="inlineStr">
        <is>
          <t>0000-0002-9986-3660</t>
        </is>
      </c>
      <c r="D47" s="13" t="inlineStr">
        <is>
          <t>https://orcid.org/0000-0002-9986-3660</t>
        </is>
      </c>
      <c r="E47" s="13" t="inlineStr">
        <is>
          <t>OpenAlex + ORCID</t>
        </is>
      </c>
      <c r="F47" s="12" t="n">
        <v>89</v>
      </c>
      <c r="G47" s="12" t="n">
        <v>3720</v>
      </c>
      <c r="H47" s="12" t="n">
        <v>35</v>
      </c>
      <c r="I47" s="12" t="n">
        <v>53</v>
      </c>
      <c r="J47" s="12" t="n">
        <v>2.71</v>
      </c>
      <c r="K47" s="12" t="n">
        <v>41.8</v>
      </c>
      <c r="L47" s="12" t="n">
        <v>88</v>
      </c>
      <c r="M47" s="12" t="n">
        <v>0</v>
      </c>
      <c r="N47" s="12" t="n">
        <v>1</v>
      </c>
      <c r="O47" s="12" t="n">
        <v>43</v>
      </c>
      <c r="P47" s="12" t="n">
        <v>19</v>
      </c>
      <c r="Q47" s="12" t="n">
        <v>0</v>
      </c>
      <c r="R47" s="12" t="n">
        <v>1</v>
      </c>
      <c r="S47" s="12" t="n">
        <v>26</v>
      </c>
      <c r="T47" s="13" t="inlineStr">
        <is>
          <t>Applied Catalysis B: Environmental; Journal of Photochemistry and Photobiology A Chemistry; Procedia Materials Science; Materials Letters</t>
        </is>
      </c>
      <c r="U47" s="14" t="inlineStr">
        <is>
          <t>Verificado (indexado como 'S. Obregon')</t>
        </is>
      </c>
      <c r="V47" s="13" t="inlineStr"/>
    </row>
    <row r="48">
      <c r="A48" s="12" t="n">
        <v>541199</v>
      </c>
      <c r="B48" s="13" t="inlineStr">
        <is>
          <t>María de Jesús Antonia Ochoa Oliva</t>
        </is>
      </c>
      <c r="C48" s="12" t="inlineStr">
        <is>
          <t>0000-0002-8723-8446</t>
        </is>
      </c>
      <c r="D48" s="13" t="inlineStr">
        <is>
          <t>https://orcid.org/0000-0002-8723-8446</t>
        </is>
      </c>
      <c r="E48" s="13" t="inlineStr">
        <is>
          <t>OpenAlex + ORCID</t>
        </is>
      </c>
      <c r="F48" s="12" t="n">
        <v>3</v>
      </c>
      <c r="G48" s="12" t="n">
        <v>4</v>
      </c>
      <c r="H48" s="12" t="n">
        <v>1</v>
      </c>
      <c r="I48" s="12" t="n">
        <v>0</v>
      </c>
      <c r="J48" s="12" t="n">
        <v>0</v>
      </c>
      <c r="K48" s="12" t="n">
        <v>1.3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3" t="inlineStr"/>
      <c r="U48" s="14" t="inlineStr">
        <is>
          <t>Verificado (perfil pequeno)</t>
        </is>
      </c>
      <c r="V48" s="13" t="inlineStr"/>
    </row>
    <row r="49">
      <c r="A49" s="12" t="n">
        <v>174597</v>
      </c>
      <c r="B49" s="13" t="inlineStr">
        <is>
          <t>José Enrique Pérez León</t>
        </is>
      </c>
      <c r="C49" s="12" t="inlineStr">
        <is>
          <t>0000-0002-8032-1917</t>
        </is>
      </c>
      <c r="D49" s="13" t="inlineStr">
        <is>
          <t>https://orcid.org/0000-0002-8032-1917</t>
        </is>
      </c>
      <c r="E49" s="13" t="inlineStr">
        <is>
          <t>OpenAlex + ORCID</t>
        </is>
      </c>
      <c r="F49" s="12" t="n">
        <v>3</v>
      </c>
      <c r="G49" s="12" t="n">
        <v>3</v>
      </c>
      <c r="H49" s="12" t="n">
        <v>1</v>
      </c>
      <c r="I49" s="12" t="n">
        <v>0</v>
      </c>
      <c r="J49" s="12" t="n">
        <v>0.5</v>
      </c>
      <c r="K49" s="12" t="n">
        <v>1</v>
      </c>
      <c r="L49" s="12" t="n">
        <v>3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1</v>
      </c>
      <c r="S49" s="12" t="n">
        <v>2</v>
      </c>
      <c r="T49" s="13" t="inlineStr">
        <is>
          <t>The Astronomical Journal; The Astrophysical Journal Letters; Open Astronomy</t>
        </is>
      </c>
      <c r="U49" s="14" t="inlineStr">
        <is>
          <t>Verificado (perfil pequeno)</t>
        </is>
      </c>
      <c r="V49" s="13" t="inlineStr"/>
    </row>
    <row r="50">
      <c r="A50" s="12" t="n">
        <v>69349</v>
      </c>
      <c r="B50" s="13" t="inlineStr">
        <is>
          <t>Joel Pérez Padrón</t>
        </is>
      </c>
      <c r="C50" s="12" t="inlineStr">
        <is>
          <t>0000-0002-0537-1180</t>
        </is>
      </c>
      <c r="D50" s="13" t="inlineStr">
        <is>
          <t>https://orcid.org/0000-0002-0537-1180</t>
        </is>
      </c>
      <c r="E50" s="13" t="inlineStr">
        <is>
          <t>OpenAlex + ORCID</t>
        </is>
      </c>
      <c r="F50" s="12" t="n">
        <v>22</v>
      </c>
      <c r="G50" s="12" t="n">
        <v>73</v>
      </c>
      <c r="H50" s="12" t="n">
        <v>4</v>
      </c>
      <c r="I50" s="12" t="n">
        <v>1</v>
      </c>
      <c r="J50" s="12" t="n">
        <v>1</v>
      </c>
      <c r="K50" s="12" t="n">
        <v>3.3</v>
      </c>
      <c r="L50" s="12" t="n">
        <v>16</v>
      </c>
      <c r="M50" s="12" t="n">
        <v>1</v>
      </c>
      <c r="N50" s="12" t="n">
        <v>2</v>
      </c>
      <c r="O50" s="12" t="n">
        <v>0</v>
      </c>
      <c r="P50" s="12" t="n">
        <v>3</v>
      </c>
      <c r="Q50" s="12" t="n">
        <v>3</v>
      </c>
      <c r="R50" s="12" t="n">
        <v>9</v>
      </c>
      <c r="S50" s="12" t="n">
        <v>4</v>
      </c>
      <c r="T50" s="13" t="inlineStr">
        <is>
          <t>Computación y Sistemas; Mathematical Problems in Engineering; Boletín de la Sociedad Matemática Mexicana; Revista Mexicana de Física</t>
        </is>
      </c>
      <c r="U50" s="14" t="inlineStr">
        <is>
          <t>Verificado</t>
        </is>
      </c>
      <c r="V50" s="13" t="inlineStr"/>
    </row>
    <row r="51">
      <c r="A51" s="12" t="n">
        <v>121201</v>
      </c>
      <c r="B51" s="13" t="inlineStr">
        <is>
          <t>Eduardo Gerardo Pérez Tijerina</t>
        </is>
      </c>
      <c r="C51" s="12" t="inlineStr">
        <is>
          <t>0000-0001-9742-4093</t>
        </is>
      </c>
      <c r="D51" s="13" t="inlineStr">
        <is>
          <t>https://orcid.org/0000-0001-9742-4093</t>
        </is>
      </c>
      <c r="E51" s="13" t="inlineStr">
        <is>
          <t>OpenAlex + ORCID</t>
        </is>
      </c>
      <c r="F51" s="12" t="n">
        <v>141</v>
      </c>
      <c r="G51" s="12" t="n">
        <v>2384</v>
      </c>
      <c r="H51" s="12" t="n">
        <v>27</v>
      </c>
      <c r="I51" s="12" t="n">
        <v>47</v>
      </c>
      <c r="J51" s="12" t="n">
        <v>10.16</v>
      </c>
      <c r="K51" s="12" t="n">
        <v>16.9</v>
      </c>
      <c r="L51" s="12" t="n">
        <v>126</v>
      </c>
      <c r="M51" s="12" t="n">
        <v>10</v>
      </c>
      <c r="N51" s="12" t="n">
        <v>1</v>
      </c>
      <c r="O51" s="12" t="n">
        <v>43</v>
      </c>
      <c r="P51" s="12" t="n">
        <v>37</v>
      </c>
      <c r="Q51" s="12" t="n">
        <v>5</v>
      </c>
      <c r="R51" s="12" t="n">
        <v>8</v>
      </c>
      <c r="S51" s="12" t="n">
        <v>46</v>
      </c>
      <c r="T51" s="13" t="inlineStr">
        <is>
          <t>Nanoscale Research Letters; Journal of nano research; Materials Research Express; Ceramics International</t>
        </is>
      </c>
      <c r="U51" s="14" t="inlineStr">
        <is>
          <t>Verificado</t>
        </is>
      </c>
      <c r="V51" s="13" t="inlineStr"/>
    </row>
    <row r="52">
      <c r="A52" s="12" t="n">
        <v>310721</v>
      </c>
      <c r="B52" s="13" t="inlineStr">
        <is>
          <t>José de Jesús Quijano Briones</t>
        </is>
      </c>
      <c r="C52" s="12" t="inlineStr">
        <is>
          <t>0000-0002-9526-6594</t>
        </is>
      </c>
      <c r="D52" s="13" t="inlineStr">
        <is>
          <t>https://orcid.org/0000-0002-9526-6594</t>
        </is>
      </c>
      <c r="E52" s="13" t="inlineStr">
        <is>
          <t>OpenAlex + ORCID</t>
        </is>
      </c>
      <c r="F52" s="12" t="n">
        <v>14</v>
      </c>
      <c r="G52" s="12" t="n">
        <v>119</v>
      </c>
      <c r="H52" s="12" t="n">
        <v>6</v>
      </c>
      <c r="I52" s="12" t="n">
        <v>3</v>
      </c>
      <c r="J52" s="12" t="n">
        <v>0.5</v>
      </c>
      <c r="K52" s="12" t="n">
        <v>8.5</v>
      </c>
      <c r="L52" s="12" t="n">
        <v>12</v>
      </c>
      <c r="M52" s="12" t="n">
        <v>2</v>
      </c>
      <c r="N52" s="12" t="n">
        <v>0</v>
      </c>
      <c r="O52" s="12" t="n">
        <v>3</v>
      </c>
      <c r="P52" s="12" t="n">
        <v>8</v>
      </c>
      <c r="Q52" s="12" t="n">
        <v>0</v>
      </c>
      <c r="R52" s="12" t="n">
        <v>0</v>
      </c>
      <c r="S52" s="12" t="n">
        <v>3</v>
      </c>
      <c r="T52" s="13" t="inlineStr">
        <is>
          <t>Physical Chemistry Chemical Physics; Journal of Physics D Applied Physics; Computational and Theoretical Chemistry; Journal of Nanotechnology</t>
        </is>
      </c>
      <c r="U52" s="14" t="inlineStr">
        <is>
          <t>Verificado</t>
        </is>
      </c>
      <c r="V52" s="13" t="inlineStr"/>
    </row>
    <row r="53">
      <c r="A53" s="12" t="n">
        <v>615707</v>
      </c>
      <c r="B53" s="13" t="inlineStr">
        <is>
          <t>Laura Alejandra Reyes Verdugo</t>
        </is>
      </c>
      <c r="C53" s="12" t="inlineStr">
        <is>
          <t>0000-0002-2740-8968</t>
        </is>
      </c>
      <c r="D53" s="13" t="inlineStr">
        <is>
          <t>https://orcid.org/0000-0002-2740-8968</t>
        </is>
      </c>
      <c r="E53" s="13" t="inlineStr">
        <is>
          <t>OpenAlex + ORCID</t>
        </is>
      </c>
      <c r="F53" s="12" t="n">
        <v>3</v>
      </c>
      <c r="G53" s="12" t="n">
        <v>10</v>
      </c>
      <c r="H53" s="12" t="n">
        <v>2</v>
      </c>
      <c r="I53" s="12" t="n">
        <v>0</v>
      </c>
      <c r="J53" s="12" t="n">
        <v>3</v>
      </c>
      <c r="K53" s="12" t="n">
        <v>3.3</v>
      </c>
      <c r="L53" s="12" t="n">
        <v>3</v>
      </c>
      <c r="M53" s="12" t="n">
        <v>0</v>
      </c>
      <c r="N53" s="12" t="n">
        <v>0</v>
      </c>
      <c r="O53" s="12" t="n">
        <v>0</v>
      </c>
      <c r="P53" s="12" t="n">
        <v>3</v>
      </c>
      <c r="Q53" s="12" t="n">
        <v>0</v>
      </c>
      <c r="R53" s="12" t="n">
        <v>0</v>
      </c>
      <c r="S53" s="12" t="n">
        <v>0</v>
      </c>
      <c r="T53" s="13" t="inlineStr">
        <is>
          <t>Journal of Nanotechnology; MRS Communications; Micromachines</t>
        </is>
      </c>
      <c r="U53" s="14" t="inlineStr">
        <is>
          <t>Verificado (perfil pequeno)</t>
        </is>
      </c>
      <c r="V53" s="13" t="inlineStr"/>
    </row>
    <row r="54">
      <c r="A54" s="12" t="n">
        <v>413231</v>
      </c>
      <c r="B54" s="13" t="inlineStr">
        <is>
          <t>José de Jesús Rocha Salazar</t>
        </is>
      </c>
      <c r="C54" s="12" t="inlineStr">
        <is>
          <t>0000-0002-9887-2039</t>
        </is>
      </c>
      <c r="D54" s="13" t="inlineStr">
        <is>
          <t>https://orcid.org/0000-0002-9887-2039</t>
        </is>
      </c>
      <c r="E54" s="13" t="inlineStr">
        <is>
          <t>OpenAlex + ORCID</t>
        </is>
      </c>
      <c r="F54" s="12" t="n">
        <v>1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1</v>
      </c>
      <c r="M54" s="12" t="n">
        <v>0</v>
      </c>
      <c r="N54" s="12" t="n">
        <v>0</v>
      </c>
      <c r="O54" s="12" t="n">
        <v>1</v>
      </c>
      <c r="P54" s="12" t="n">
        <v>0</v>
      </c>
      <c r="Q54" s="12" t="n">
        <v>0</v>
      </c>
      <c r="R54" s="12" t="n">
        <v>0</v>
      </c>
      <c r="S54" s="12" t="n">
        <v>0</v>
      </c>
      <c r="T54" s="13" t="inlineStr">
        <is>
          <t>International Journal of Bank Marketing</t>
        </is>
      </c>
      <c r="U54" s="14" t="inlineStr">
        <is>
          <t>Verificado (perfil minimo)</t>
        </is>
      </c>
      <c r="V54" s="13" t="inlineStr"/>
    </row>
    <row r="55">
      <c r="A55" s="12" t="n">
        <v>861445</v>
      </c>
      <c r="B55" s="13" t="inlineStr">
        <is>
          <t>Rodrigo Rodríguez Gutiérrez</t>
        </is>
      </c>
      <c r="C55" s="12" t="inlineStr">
        <is>
          <t>0009-0005-9823-2532</t>
        </is>
      </c>
      <c r="D55" s="13" t="inlineStr">
        <is>
          <t>https://orcid.org/0009-0005-9823-2532</t>
        </is>
      </c>
      <c r="E55" s="13" t="inlineStr">
        <is>
          <t>OpenAlex + ORCID</t>
        </is>
      </c>
      <c r="F55" s="12" t="n">
        <v>4</v>
      </c>
      <c r="G55" s="12" t="n">
        <v>3</v>
      </c>
      <c r="H55" s="12" t="n">
        <v>1</v>
      </c>
      <c r="I55" s="12" t="n">
        <v>0</v>
      </c>
      <c r="J55" s="12" t="n">
        <v>0.33</v>
      </c>
      <c r="K55" s="12" t="n">
        <v>0.8</v>
      </c>
      <c r="L55" s="12" t="n">
        <v>3</v>
      </c>
      <c r="M55" s="12" t="n">
        <v>0</v>
      </c>
      <c r="N55" s="12" t="n">
        <v>0</v>
      </c>
      <c r="O55" s="12" t="n">
        <v>0</v>
      </c>
      <c r="P55" s="12" t="n">
        <v>3</v>
      </c>
      <c r="Q55" s="12" t="n">
        <v>1</v>
      </c>
      <c r="R55" s="12" t="n">
        <v>0</v>
      </c>
      <c r="S55" s="12" t="n">
        <v>0</v>
      </c>
      <c r="T55" s="13" t="inlineStr">
        <is>
          <t>Frontiers in Applied Mathematics and Statistics; Physica A; Molecular Simulation</t>
        </is>
      </c>
      <c r="U55" s="16" t="inlineStr">
        <is>
          <t>Verificado (perfil pequeno; posible confusion con Rene Rodriguez-Gutierrez, revisar)</t>
        </is>
      </c>
      <c r="V55" s="13" t="inlineStr"/>
    </row>
    <row r="56">
      <c r="A56" s="12" t="n">
        <v>293039</v>
      </c>
      <c r="B56" s="13" t="inlineStr">
        <is>
          <t>Pablo Cesar Rodríguez Ramírez</t>
        </is>
      </c>
      <c r="C56" s="12" t="inlineStr">
        <is>
          <t>0000-0001-5660-9497</t>
        </is>
      </c>
      <c r="D56" s="13" t="inlineStr">
        <is>
          <t>https://orcid.org/0000-0001-5660-9497</t>
        </is>
      </c>
      <c r="E56" s="13" t="inlineStr">
        <is>
          <t>OpenAlex + ORCID</t>
        </is>
      </c>
      <c r="F56" s="12" t="n">
        <v>60</v>
      </c>
      <c r="G56" s="12" t="n">
        <v>680</v>
      </c>
      <c r="H56" s="12" t="n">
        <v>13</v>
      </c>
      <c r="I56" s="12" t="n">
        <v>15</v>
      </c>
      <c r="J56" s="12" t="n">
        <v>0</v>
      </c>
      <c r="K56" s="12" t="n">
        <v>11.3</v>
      </c>
      <c r="L56" s="12" t="n">
        <v>25</v>
      </c>
      <c r="M56" s="12" t="n">
        <v>1</v>
      </c>
      <c r="N56" s="12" t="n">
        <v>2</v>
      </c>
      <c r="O56" s="12" t="n">
        <v>19</v>
      </c>
      <c r="P56" s="12" t="n">
        <v>4</v>
      </c>
      <c r="Q56" s="12" t="n">
        <v>0</v>
      </c>
      <c r="R56" s="12" t="n">
        <v>1</v>
      </c>
      <c r="S56" s="12" t="n">
        <v>7</v>
      </c>
      <c r="T56" s="13" t="inlineStr">
        <is>
          <t>Journal of the Franklin Institute; IEEE Transactions on Industrial Electronics; International Journal of Systems Science; Transactions of the Institute of Measurement and Control</t>
        </is>
      </c>
      <c r="U56" s="16" t="inlineStr">
        <is>
          <t>Verificado (revisar posible homonimo)</t>
        </is>
      </c>
      <c r="V56" s="13" t="inlineStr"/>
    </row>
    <row r="57">
      <c r="A57" s="12" t="n">
        <v>265596</v>
      </c>
      <c r="B57" s="13" t="inlineStr">
        <is>
          <t>Esmeralda Romero Hernández</t>
        </is>
      </c>
      <c r="C57" s="12" t="inlineStr">
        <is>
          <t>0000-0001-9228-4087</t>
        </is>
      </c>
      <c r="D57" s="13" t="inlineStr">
        <is>
          <t>https://orcid.org/0000-0001-9228-4087</t>
        </is>
      </c>
      <c r="E57" s="13" t="inlineStr">
        <is>
          <t>OpenAlex + ORCID</t>
        </is>
      </c>
      <c r="F57" s="12" t="n">
        <v>44</v>
      </c>
      <c r="G57" s="12" t="n">
        <v>307</v>
      </c>
      <c r="H57" s="12" t="n">
        <v>10</v>
      </c>
      <c r="I57" s="12" t="n">
        <v>10</v>
      </c>
      <c r="J57" s="12" t="n">
        <v>7.3</v>
      </c>
      <c r="K57" s="12" t="n">
        <v>7</v>
      </c>
      <c r="L57" s="12" t="n">
        <v>33</v>
      </c>
      <c r="M57" s="12" t="n">
        <v>7</v>
      </c>
      <c r="N57" s="12" t="n">
        <v>0</v>
      </c>
      <c r="O57" s="12" t="n">
        <v>10</v>
      </c>
      <c r="P57" s="12" t="n">
        <v>11</v>
      </c>
      <c r="Q57" s="12" t="n">
        <v>0</v>
      </c>
      <c r="R57" s="12" t="n">
        <v>0</v>
      </c>
      <c r="S57" s="12" t="n">
        <v>18</v>
      </c>
      <c r="T57" s="13" t="inlineStr">
        <is>
          <t>Space Weather; Solar Physics; Advances in Space Research; Journal of Geophysical Research Space Physics</t>
        </is>
      </c>
      <c r="U57" s="14" t="inlineStr">
        <is>
          <t>Verificado</t>
        </is>
      </c>
      <c r="V57" s="13" t="inlineStr"/>
    </row>
    <row r="58">
      <c r="A58" s="12" t="n">
        <v>254626</v>
      </c>
      <c r="B58" s="13" t="inlineStr">
        <is>
          <t>Juan Carlos Ruiz Mendoza</t>
        </is>
      </c>
      <c r="C58" s="12" t="inlineStr">
        <is>
          <t>0000-0001-5227-3025</t>
        </is>
      </c>
      <c r="D58" s="13" t="inlineStr">
        <is>
          <t>https://orcid.org/0000-0001-5227-3025</t>
        </is>
      </c>
      <c r="E58" s="13" t="inlineStr">
        <is>
          <t>OpenAlex + ORCID</t>
        </is>
      </c>
      <c r="F58" s="12" t="n">
        <v>21</v>
      </c>
      <c r="G58" s="12" t="n">
        <v>27</v>
      </c>
      <c r="H58" s="12" t="n">
        <v>3</v>
      </c>
      <c r="I58" s="12" t="n">
        <v>0</v>
      </c>
      <c r="J58" s="12" t="n">
        <v>0</v>
      </c>
      <c r="K58" s="12" t="n">
        <v>1.3</v>
      </c>
      <c r="L58" s="12" t="n">
        <v>19</v>
      </c>
      <c r="M58" s="12" t="n">
        <v>0</v>
      </c>
      <c r="N58" s="12" t="n">
        <v>2</v>
      </c>
      <c r="O58" s="12" t="n">
        <v>0</v>
      </c>
      <c r="P58" s="12" t="n">
        <v>0</v>
      </c>
      <c r="Q58" s="12" t="n">
        <v>0</v>
      </c>
      <c r="R58" s="12" t="n">
        <v>1</v>
      </c>
      <c r="S58" s="12" t="n">
        <v>15</v>
      </c>
      <c r="T58" s="13" t="inlineStr">
        <is>
          <t>Revista Iberoamericana de Educación; American Journal of Educational Research; Latin American journal of physics education; Educación Química</t>
        </is>
      </c>
      <c r="U58" s="14" t="inlineStr">
        <is>
          <t>Verificado</t>
        </is>
      </c>
      <c r="V58" s="13" t="inlineStr"/>
    </row>
    <row r="59">
      <c r="A59" s="12" t="n">
        <v>367209</v>
      </c>
      <c r="B59" s="13" t="inlineStr">
        <is>
          <t>Mitchel Abraham Ruiz Robles</t>
        </is>
      </c>
      <c r="C59" s="12" t="inlineStr">
        <is>
          <t>0000-0003-4834-8025</t>
        </is>
      </c>
      <c r="D59" s="13" t="inlineStr">
        <is>
          <t>https://orcid.org/0000-0003-4834-8025</t>
        </is>
      </c>
      <c r="E59" s="13" t="inlineStr">
        <is>
          <t>OpenAlex + ORCID</t>
        </is>
      </c>
      <c r="F59" s="12" t="n">
        <v>14</v>
      </c>
      <c r="G59" s="12" t="n">
        <v>35</v>
      </c>
      <c r="H59" s="12" t="n">
        <v>4</v>
      </c>
      <c r="I59" s="12" t="n">
        <v>0</v>
      </c>
      <c r="J59" s="12" t="n">
        <v>2.3</v>
      </c>
      <c r="K59" s="12" t="n">
        <v>2.5</v>
      </c>
      <c r="L59" s="12" t="n">
        <v>11</v>
      </c>
      <c r="M59" s="12" t="n">
        <v>1</v>
      </c>
      <c r="N59" s="12" t="n">
        <v>0</v>
      </c>
      <c r="O59" s="12" t="n">
        <v>5</v>
      </c>
      <c r="P59" s="12" t="n">
        <v>6</v>
      </c>
      <c r="Q59" s="12" t="n">
        <v>0</v>
      </c>
      <c r="R59" s="12" t="n">
        <v>1</v>
      </c>
      <c r="S59" s="12" t="n">
        <v>1</v>
      </c>
      <c r="T59" s="13" t="inlineStr">
        <is>
          <t>Materials Research Express; Materials; Journal of materials research; Nanoscale</t>
        </is>
      </c>
      <c r="U59" s="14" t="inlineStr">
        <is>
          <t>Verificado</t>
        </is>
      </c>
      <c r="V59" s="13" t="inlineStr"/>
    </row>
    <row r="60">
      <c r="A60" s="12" t="n">
        <v>349058</v>
      </c>
      <c r="B60" s="13" t="inlineStr">
        <is>
          <t>Guillermo Salceda Delgado</t>
        </is>
      </c>
      <c r="C60" s="12" t="inlineStr">
        <is>
          <t>0000-0003-2202-4911</t>
        </is>
      </c>
      <c r="D60" s="13" t="inlineStr">
        <is>
          <t>https://orcid.org/0000-0003-2202-4911</t>
        </is>
      </c>
      <c r="E60" s="13" t="inlineStr">
        <is>
          <t>OpenAlex + ORCID</t>
        </is>
      </c>
      <c r="F60" s="12" t="n">
        <v>67</v>
      </c>
      <c r="G60" s="12" t="n">
        <v>971</v>
      </c>
      <c r="H60" s="12" t="n">
        <v>15</v>
      </c>
      <c r="I60" s="12" t="n">
        <v>25</v>
      </c>
      <c r="J60" s="12" t="n">
        <v>1.5</v>
      </c>
      <c r="K60" s="12" t="n">
        <v>14.5</v>
      </c>
      <c r="L60" s="12" t="n">
        <v>43</v>
      </c>
      <c r="M60" s="12" t="n">
        <v>0</v>
      </c>
      <c r="N60" s="12" t="n">
        <v>1</v>
      </c>
      <c r="O60" s="12" t="n">
        <v>18</v>
      </c>
      <c r="P60" s="12" t="n">
        <v>11</v>
      </c>
      <c r="Q60" s="12" t="n">
        <v>11</v>
      </c>
      <c r="R60" s="12" t="n">
        <v>0</v>
      </c>
      <c r="S60" s="12" t="n">
        <v>12</v>
      </c>
      <c r="T60" s="13" t="inlineStr">
        <is>
          <t>Laser Physics; Optics &amp; Laser Technology; Optics Letters; Sensors</t>
        </is>
      </c>
      <c r="U60" s="14" t="inlineStr">
        <is>
          <t>Verificado</t>
        </is>
      </c>
      <c r="V60" s="13" t="inlineStr"/>
    </row>
    <row r="61">
      <c r="A61" s="12" t="n">
        <v>436440</v>
      </c>
      <c r="B61" s="13" t="inlineStr">
        <is>
          <t>Guillermo Ezequiel Sánchez Guerrero</t>
        </is>
      </c>
      <c r="C61" s="12" t="inlineStr">
        <is>
          <t>0000-0002-8050-9952</t>
        </is>
      </c>
      <c r="D61" s="13" t="inlineStr">
        <is>
          <t>https://orcid.org/0000-0002-8050-9952</t>
        </is>
      </c>
      <c r="E61" s="13" t="inlineStr">
        <is>
          <t>OpenAlex + ORCID</t>
        </is>
      </c>
      <c r="F61" s="12" t="n">
        <v>26</v>
      </c>
      <c r="G61" s="12" t="n">
        <v>20</v>
      </c>
      <c r="H61" s="12" t="n">
        <v>2</v>
      </c>
      <c r="I61" s="12" t="n">
        <v>0</v>
      </c>
      <c r="J61" s="12" t="n">
        <v>0.5</v>
      </c>
      <c r="K61" s="12" t="n">
        <v>0.8</v>
      </c>
      <c r="L61" s="12" t="n">
        <v>5</v>
      </c>
      <c r="M61" s="12" t="n">
        <v>1</v>
      </c>
      <c r="N61" s="12" t="n">
        <v>0</v>
      </c>
      <c r="O61" s="12" t="n">
        <v>0</v>
      </c>
      <c r="P61" s="12" t="n">
        <v>1</v>
      </c>
      <c r="Q61" s="12" t="n">
        <v>3</v>
      </c>
      <c r="R61" s="12" t="n">
        <v>0</v>
      </c>
      <c r="S61" s="12" t="n">
        <v>12</v>
      </c>
      <c r="T61" s="13" t="inlineStr">
        <is>
          <t>Optical Engineering; Mathematical Problems in Engineering; Computer; Research in Computing Science</t>
        </is>
      </c>
      <c r="U61" s="14" t="inlineStr">
        <is>
          <t>Verificado</t>
        </is>
      </c>
      <c r="V61" s="13" t="inlineStr"/>
    </row>
    <row r="62">
      <c r="A62" s="12" t="n">
        <v>121604</v>
      </c>
      <c r="B62" s="13" t="inlineStr">
        <is>
          <t>Romeo de Jesús Selvas Aguilar</t>
        </is>
      </c>
      <c r="C62" s="12" t="inlineStr">
        <is>
          <t>0000-0001-7012-3901</t>
        </is>
      </c>
      <c r="D62" s="13" t="inlineStr">
        <is>
          <t>https://orcid.org/0000-0001-7012-3901</t>
        </is>
      </c>
      <c r="E62" s="13" t="inlineStr">
        <is>
          <t>OpenAlex + ORCID</t>
        </is>
      </c>
      <c r="F62" s="12" t="n">
        <v>143</v>
      </c>
      <c r="G62" s="12" t="n">
        <v>1331</v>
      </c>
      <c r="H62" s="12" t="n">
        <v>18</v>
      </c>
      <c r="I62" s="12" t="n">
        <v>30</v>
      </c>
      <c r="J62" s="12" t="n">
        <v>0.22</v>
      </c>
      <c r="K62" s="12" t="n">
        <v>9.300000000000001</v>
      </c>
      <c r="L62" s="12" t="n">
        <v>57</v>
      </c>
      <c r="M62" s="12" t="n">
        <v>1</v>
      </c>
      <c r="N62" s="12" t="n">
        <v>1</v>
      </c>
      <c r="O62" s="12" t="n">
        <v>14</v>
      </c>
      <c r="P62" s="12" t="n">
        <v>18</v>
      </c>
      <c r="Q62" s="12" t="n">
        <v>8</v>
      </c>
      <c r="R62" s="12" t="n">
        <v>7</v>
      </c>
      <c r="S62" s="12" t="n">
        <v>70</v>
      </c>
      <c r="T62" s="13" t="inlineStr">
        <is>
          <t>Optical Review; Laser Physics; Optics Communications; IEEE Photonics Technology Letters</t>
        </is>
      </c>
      <c r="U62" s="14" t="inlineStr">
        <is>
          <t>Verificado</t>
        </is>
      </c>
      <c r="V62" s="13" t="inlineStr"/>
    </row>
    <row r="63">
      <c r="A63" s="12" t="n">
        <v>44946</v>
      </c>
      <c r="B63" s="13" t="inlineStr">
        <is>
          <t>Francisco José Solís Pomar</t>
        </is>
      </c>
      <c r="C63" s="12" t="inlineStr">
        <is>
          <t>0000-0002-4536-6538</t>
        </is>
      </c>
      <c r="D63" s="13" t="inlineStr">
        <is>
          <t>https://orcid.org/0000-0002-4536-6538</t>
        </is>
      </c>
      <c r="E63" s="13" t="inlineStr">
        <is>
          <t>OpenAlex + ORCID</t>
        </is>
      </c>
      <c r="F63" s="12" t="n">
        <v>45</v>
      </c>
      <c r="G63" s="12" t="n">
        <v>664</v>
      </c>
      <c r="H63" s="12" t="n">
        <v>12</v>
      </c>
      <c r="I63" s="12" t="n">
        <v>16</v>
      </c>
      <c r="J63" s="12" t="n">
        <v>15.08</v>
      </c>
      <c r="K63" s="12" t="n">
        <v>14.8</v>
      </c>
      <c r="L63" s="12" t="n">
        <v>41</v>
      </c>
      <c r="M63" s="12" t="n">
        <v>2</v>
      </c>
      <c r="N63" s="12" t="n">
        <v>1</v>
      </c>
      <c r="O63" s="12" t="n">
        <v>12</v>
      </c>
      <c r="P63" s="12" t="n">
        <v>20</v>
      </c>
      <c r="Q63" s="12" t="n">
        <v>2</v>
      </c>
      <c r="R63" s="12" t="n">
        <v>2</v>
      </c>
      <c r="S63" s="12" t="n">
        <v>9</v>
      </c>
      <c r="T63" s="13" t="inlineStr">
        <is>
          <t>Materials Research Express; Nanoscale Research Letters; Ceramics International; Nanomaterials</t>
        </is>
      </c>
      <c r="U63" s="14" t="inlineStr">
        <is>
          <t>Verificado</t>
        </is>
      </c>
      <c r="V63" s="13" t="inlineStr"/>
    </row>
    <row r="64">
      <c r="A64" s="12" t="n">
        <v>219291</v>
      </c>
      <c r="B64" s="13" t="inlineStr">
        <is>
          <t>Francisco Javier Tamayo Amaya</t>
        </is>
      </c>
      <c r="C64" s="12" t="inlineStr">
        <is>
          <t>0000-0002-9761-9509</t>
        </is>
      </c>
      <c r="D64" s="13" t="inlineStr">
        <is>
          <t>https://orcid.org/0000-0002-9761-9509</t>
        </is>
      </c>
      <c r="E64" s="13" t="inlineStr">
        <is>
          <t>ORCID (registro)</t>
        </is>
      </c>
      <c r="F64" s="12" t="n"/>
      <c r="G64" s="12" t="n"/>
      <c r="H64" s="12" t="n"/>
      <c r="I64" s="12" t="n"/>
      <c r="J64" s="12" t="n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3" t="inlineStr"/>
      <c r="U64" s="15" t="inlineStr">
        <is>
          <t>No encontrado - revisar en WoS/Scopus</t>
        </is>
      </c>
      <c r="V64" s="13" t="inlineStr">
        <is>
          <t>Sin perfil en OpenAlex; revisar en WoS/Scopus</t>
        </is>
      </c>
    </row>
    <row r="65">
      <c r="A65" s="12" t="n">
        <v>87244</v>
      </c>
      <c r="B65" s="13" t="inlineStr">
        <is>
          <t>Alfredo Tlahuice Flores</t>
        </is>
      </c>
      <c r="C65" s="12" t="inlineStr">
        <is>
          <t>0000-0001-8542-9241</t>
        </is>
      </c>
      <c r="D65" s="13" t="inlineStr">
        <is>
          <t>https://orcid.org/0000-0001-8542-9241</t>
        </is>
      </c>
      <c r="E65" s="13" t="inlineStr">
        <is>
          <t>OpenAlex + ORCID</t>
        </is>
      </c>
      <c r="F65" s="12" t="n">
        <v>43</v>
      </c>
      <c r="G65" s="12" t="n">
        <v>1110</v>
      </c>
      <c r="H65" s="12" t="n">
        <v>21</v>
      </c>
      <c r="I65" s="12" t="n">
        <v>28</v>
      </c>
      <c r="J65" s="12" t="n">
        <v>1.75</v>
      </c>
      <c r="K65" s="12" t="n">
        <v>25.8</v>
      </c>
      <c r="L65" s="12" t="n">
        <v>43</v>
      </c>
      <c r="M65" s="12" t="n">
        <v>0</v>
      </c>
      <c r="N65" s="12" t="n">
        <v>0</v>
      </c>
      <c r="O65" s="12" t="n">
        <v>4</v>
      </c>
      <c r="P65" s="12" t="n">
        <v>24</v>
      </c>
      <c r="Q65" s="12" t="n">
        <v>5</v>
      </c>
      <c r="R65" s="12" t="n">
        <v>0</v>
      </c>
      <c r="S65" s="12" t="n">
        <v>10</v>
      </c>
      <c r="T65" s="13" t="inlineStr">
        <is>
          <t>Physical Chemistry Chemical Physics; The Journal of Physical Chemistry C; Journal of Raman Spectroscopy; Computational and Theoretical Chemistry</t>
        </is>
      </c>
      <c r="U65" s="14" t="inlineStr">
        <is>
          <t>Verificado</t>
        </is>
      </c>
      <c r="V65" s="13" t="inlineStr"/>
    </row>
    <row r="66">
      <c r="A66" s="12" t="n">
        <v>228803</v>
      </c>
      <c r="B66" s="13" t="inlineStr">
        <is>
          <t>Fernando Torres Castillo</t>
        </is>
      </c>
      <c r="C66" s="12" t="inlineStr">
        <is>
          <t>0000-0002-1940-6866</t>
        </is>
      </c>
      <c r="D66" s="13" t="inlineStr">
        <is>
          <t>https://orcid.org/0000-0002-1940-6866</t>
        </is>
      </c>
      <c r="E66" s="13" t="inlineStr">
        <is>
          <t>OpenAlex + ORCID</t>
        </is>
      </c>
      <c r="F66" s="12" t="n">
        <v>4</v>
      </c>
      <c r="G66" s="12" t="n">
        <v>8</v>
      </c>
      <c r="H66" s="12" t="n">
        <v>2</v>
      </c>
      <c r="I66" s="12" t="n">
        <v>0</v>
      </c>
      <c r="J66" s="12" t="n">
        <v>0</v>
      </c>
      <c r="K66" s="12" t="n">
        <v>2</v>
      </c>
      <c r="L66" s="12" t="n">
        <v>4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4</v>
      </c>
      <c r="T66" s="13" t="inlineStr">
        <is>
          <t>Statistics Optimization &amp; Information Computing; Revista ESPACIOS</t>
        </is>
      </c>
      <c r="U66" s="14" t="inlineStr">
        <is>
          <t>Verificado (perfil pequeno)</t>
        </is>
      </c>
      <c r="V66" s="13" t="inlineStr"/>
    </row>
    <row r="67">
      <c r="A67" s="12" t="n">
        <v>636227</v>
      </c>
      <c r="B67" s="13" t="inlineStr">
        <is>
          <t>Jobish Vallikavungal Devassia</t>
        </is>
      </c>
      <c r="C67" s="12" t="inlineStr">
        <is>
          <t>0000-0003-4238-5829</t>
        </is>
      </c>
      <c r="D67" s="13" t="inlineStr">
        <is>
          <t>https://orcid.org/0000-0003-4238-5829</t>
        </is>
      </c>
      <c r="E67" s="13" t="inlineStr">
        <is>
          <t>OpenAlex + ORCID</t>
        </is>
      </c>
      <c r="F67" s="12" t="n">
        <v>13</v>
      </c>
      <c r="G67" s="12" t="n">
        <v>129</v>
      </c>
      <c r="H67" s="12" t="n">
        <v>6</v>
      </c>
      <c r="I67" s="12" t="n">
        <v>3</v>
      </c>
      <c r="J67" s="12" t="n">
        <v>1.5</v>
      </c>
      <c r="K67" s="12" t="n">
        <v>9.9</v>
      </c>
      <c r="L67" s="12" t="n">
        <v>13</v>
      </c>
      <c r="M67" s="12" t="n">
        <v>0</v>
      </c>
      <c r="N67" s="12" t="n">
        <v>0</v>
      </c>
      <c r="O67" s="12" t="n">
        <v>6</v>
      </c>
      <c r="P67" s="12" t="n">
        <v>2</v>
      </c>
      <c r="Q67" s="12" t="n">
        <v>0</v>
      </c>
      <c r="R67" s="12" t="n">
        <v>1</v>
      </c>
      <c r="S67" s="12" t="n">
        <v>4</v>
      </c>
      <c r="T67" s="13" t="inlineStr">
        <is>
          <t>Computers &amp; Industrial Engineering; IEEE Access; Expert Systems with Applications; Discrete Mathematics Algorithms and Applications</t>
        </is>
      </c>
      <c r="U67" s="14" t="inlineStr">
        <is>
          <t>Verificado</t>
        </is>
      </c>
      <c r="V67" s="13" t="inlineStr"/>
    </row>
    <row r="68">
      <c r="A68" s="12" t="n">
        <v>436439</v>
      </c>
      <c r="B68" s="13" t="inlineStr">
        <is>
          <t>Perla Marlene Viera González</t>
        </is>
      </c>
      <c r="C68" s="12" t="inlineStr">
        <is>
          <t>0000-0002-2856-6925</t>
        </is>
      </c>
      <c r="D68" s="13" t="inlineStr">
        <is>
          <t>https://orcid.org/0000-0002-2856-6925</t>
        </is>
      </c>
      <c r="E68" s="13" t="inlineStr">
        <is>
          <t>OpenAlex + ORCID</t>
        </is>
      </c>
      <c r="F68" s="12" t="n">
        <v>23</v>
      </c>
      <c r="G68" s="12" t="n">
        <v>19</v>
      </c>
      <c r="H68" s="12" t="n">
        <v>2</v>
      </c>
      <c r="I68" s="12" t="n">
        <v>0</v>
      </c>
      <c r="J68" s="12" t="n">
        <v>0.5</v>
      </c>
      <c r="K68" s="12" t="n">
        <v>0.8</v>
      </c>
      <c r="L68" s="12" t="n">
        <v>5</v>
      </c>
      <c r="M68" s="12" t="n">
        <v>1</v>
      </c>
      <c r="N68" s="12" t="n">
        <v>0</v>
      </c>
      <c r="O68" s="12" t="n">
        <v>0</v>
      </c>
      <c r="P68" s="12" t="n">
        <v>1</v>
      </c>
      <c r="Q68" s="12" t="n">
        <v>3</v>
      </c>
      <c r="R68" s="12" t="n">
        <v>0</v>
      </c>
      <c r="S68" s="12" t="n">
        <v>10</v>
      </c>
      <c r="T68" s="13" t="inlineStr">
        <is>
          <t>Optical Engineering; Mathematical Problems in Engineering; Computer; Research in Computing Science</t>
        </is>
      </c>
      <c r="U68" s="14" t="inlineStr">
        <is>
          <t>Verificado</t>
        </is>
      </c>
      <c r="V68" s="13" t="inlineStr"/>
    </row>
    <row r="69">
      <c r="A69" s="12" t="n">
        <v>553278</v>
      </c>
      <c r="B69" s="13" t="inlineStr">
        <is>
          <t>Daniel Arturo Acuña Leal</t>
        </is>
      </c>
      <c r="C69" s="12" t="inlineStr">
        <is>
          <t>0000-0002-9045-4190</t>
        </is>
      </c>
      <c r="D69" s="13" t="inlineStr">
        <is>
          <t>https://orcid.org/0000-0002-9045-4190</t>
        </is>
      </c>
      <c r="E69" s="13" t="inlineStr">
        <is>
          <t>OpenAlex + ORCID</t>
        </is>
      </c>
      <c r="F69" s="12" t="n">
        <v>8</v>
      </c>
      <c r="G69" s="12" t="n">
        <v>82</v>
      </c>
      <c r="H69" s="12" t="n">
        <v>5</v>
      </c>
      <c r="I69" s="12" t="n">
        <v>4</v>
      </c>
      <c r="J69" s="12" t="n">
        <v>2</v>
      </c>
      <c r="K69" s="12" t="n">
        <v>10.2</v>
      </c>
      <c r="L69" s="12" t="n">
        <v>6</v>
      </c>
      <c r="M69" s="12" t="n">
        <v>0</v>
      </c>
      <c r="N69" s="12" t="n">
        <v>0</v>
      </c>
      <c r="O69" s="12" t="n">
        <v>4</v>
      </c>
      <c r="P69" s="12" t="n">
        <v>3</v>
      </c>
      <c r="Q69" s="12" t="n">
        <v>0</v>
      </c>
      <c r="R69" s="12" t="n">
        <v>0</v>
      </c>
      <c r="S69" s="12" t="n">
        <v>0</v>
      </c>
      <c r="T69" s="13" t="inlineStr">
        <is>
          <t>Journal of Applied Physics; Inorganics; Materials Today Communications; Nanotechnology Reviews</t>
        </is>
      </c>
      <c r="U69" s="14" t="inlineStr">
        <is>
          <t>Verificado</t>
        </is>
      </c>
      <c r="V69" s="13" t="inlineStr"/>
    </row>
    <row r="70">
      <c r="A70" s="12" t="n">
        <v>769564</v>
      </c>
      <c r="B70" s="13" t="inlineStr">
        <is>
          <t>Alison Garza Alonso</t>
        </is>
      </c>
      <c r="C70" s="12" t="inlineStr"/>
      <c r="D70" s="13" t="inlineStr"/>
      <c r="E70" s="13" t="inlineStr">
        <is>
          <t>OpenAlex (sin ORCID)</t>
        </is>
      </c>
      <c r="F70" s="12" t="n">
        <v>12</v>
      </c>
      <c r="G70" s="12" t="n">
        <v>96</v>
      </c>
      <c r="H70" s="12" t="n">
        <v>5</v>
      </c>
      <c r="I70" s="12" t="n">
        <v>3</v>
      </c>
      <c r="J70" s="12" t="n">
        <v>1</v>
      </c>
      <c r="K70" s="12" t="n">
        <v>8</v>
      </c>
      <c r="L70" s="12" t="n">
        <v>6</v>
      </c>
      <c r="M70" s="12" t="n">
        <v>0</v>
      </c>
      <c r="N70" s="12" t="n">
        <v>0</v>
      </c>
      <c r="O70" s="12" t="n">
        <v>3</v>
      </c>
      <c r="P70" s="12" t="n">
        <v>3</v>
      </c>
      <c r="Q70" s="12" t="n">
        <v>0</v>
      </c>
      <c r="R70" s="12" t="n">
        <v>0</v>
      </c>
      <c r="S70" s="12" t="n">
        <v>1</v>
      </c>
      <c r="T70" s="13" t="inlineStr">
        <is>
          <t>Journal of the Franklin Institute; Transactions of the Institute of Measurement and Control; Asian Journal of Control; IEEE/CAA Journal of Automatica Sinica</t>
        </is>
      </c>
      <c r="U70" s="14" t="inlineStr">
        <is>
          <t>Verificado (sin ORCID)</t>
        </is>
      </c>
      <c r="V70" s="13" t="inlineStr"/>
    </row>
    <row r="71">
      <c r="A71" s="12" t="n">
        <v>420294</v>
      </c>
      <c r="B71" s="13" t="inlineStr">
        <is>
          <t>María del Rosario Herrera Rivera</t>
        </is>
      </c>
      <c r="C71" s="12" t="inlineStr">
        <is>
          <t>0000-0003-3629-4525</t>
        </is>
      </c>
      <c r="D71" s="13" t="inlineStr">
        <is>
          <t>https://orcid.org/0000-0003-3629-4525</t>
        </is>
      </c>
      <c r="E71" s="13" t="inlineStr">
        <is>
          <t>OpenAlex + ORCID</t>
        </is>
      </c>
      <c r="F71" s="12" t="n">
        <v>16</v>
      </c>
      <c r="G71" s="12" t="n">
        <v>172</v>
      </c>
      <c r="H71" s="12" t="n">
        <v>6</v>
      </c>
      <c r="I71" s="12" t="n">
        <v>5</v>
      </c>
      <c r="J71" s="12" t="n">
        <v>2.75</v>
      </c>
      <c r="K71" s="12" t="n">
        <v>10.8</v>
      </c>
      <c r="L71" s="12" t="n">
        <v>10</v>
      </c>
      <c r="M71" s="12" t="n">
        <v>0</v>
      </c>
      <c r="N71" s="12" t="n">
        <v>0</v>
      </c>
      <c r="O71" s="12" t="n">
        <v>3</v>
      </c>
      <c r="P71" s="12" t="n">
        <v>4</v>
      </c>
      <c r="Q71" s="12" t="n">
        <v>1</v>
      </c>
      <c r="R71" s="12" t="n">
        <v>0</v>
      </c>
      <c r="S71" s="12" t="n">
        <v>2</v>
      </c>
      <c r="T71" s="13" t="inlineStr">
        <is>
          <t>Sensors; Journal of Nanotechnology; Journal of Materials Science Materials in Electronics; Physica E</t>
        </is>
      </c>
      <c r="U71" s="16" t="inlineStr">
        <is>
          <t>Verificado (revisar inicial)</t>
        </is>
      </c>
      <c r="V71" s="13" t="inlineStr"/>
    </row>
    <row r="72">
      <c r="A72" s="12" t="n">
        <v>536995</v>
      </c>
      <c r="B72" s="13" t="inlineStr">
        <is>
          <t>Nallaly Berenice Mata Carrizal</t>
        </is>
      </c>
      <c r="C72" s="12" t="inlineStr">
        <is>
          <t>0000-0002-8001-3105</t>
        </is>
      </c>
      <c r="D72" s="13" t="inlineStr">
        <is>
          <t>https://orcid.org/0000-0002-8001-3105</t>
        </is>
      </c>
      <c r="E72" s="13" t="inlineStr">
        <is>
          <t>OpenAlex + ORCID</t>
        </is>
      </c>
      <c r="F72" s="12" t="n">
        <v>2</v>
      </c>
      <c r="G72" s="12" t="n">
        <v>7</v>
      </c>
      <c r="H72" s="12" t="n">
        <v>2</v>
      </c>
      <c r="I72" s="12" t="n">
        <v>0</v>
      </c>
      <c r="J72" s="12" t="n">
        <v>0</v>
      </c>
      <c r="K72" s="12" t="n">
        <v>3.5</v>
      </c>
      <c r="L72" s="12" t="n">
        <v>2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2</v>
      </c>
      <c r="R72" s="12" t="n">
        <v>0</v>
      </c>
      <c r="S72" s="12" t="n">
        <v>0</v>
      </c>
      <c r="T72" s="13" t="inlineStr">
        <is>
          <t>Open Physics; Advances in High Energy Physics</t>
        </is>
      </c>
      <c r="U72" s="14" t="inlineStr">
        <is>
          <t>Verificado (perfil pequeno)</t>
        </is>
      </c>
      <c r="V72" s="13" t="inlineStr"/>
    </row>
    <row r="73">
      <c r="A73" s="12" t="n">
        <v>786374</v>
      </c>
      <c r="B73" s="13" t="inlineStr">
        <is>
          <t>Deyani Nocedo Mena</t>
        </is>
      </c>
      <c r="C73" s="12" t="inlineStr">
        <is>
          <t>0000-0001-8061-8609</t>
        </is>
      </c>
      <c r="D73" s="13" t="inlineStr">
        <is>
          <t>https://orcid.org/0000-0001-8061-8609</t>
        </is>
      </c>
      <c r="E73" s="13" t="inlineStr">
        <is>
          <t>OpenAlex + ORCID</t>
        </is>
      </c>
      <c r="F73" s="12" t="n">
        <v>27</v>
      </c>
      <c r="G73" s="12" t="n">
        <v>159</v>
      </c>
      <c r="H73" s="12" t="n">
        <v>7</v>
      </c>
      <c r="I73" s="12" t="n">
        <v>6</v>
      </c>
      <c r="J73" s="12" t="n">
        <v>1.5</v>
      </c>
      <c r="K73" s="12" t="n">
        <v>5.9</v>
      </c>
      <c r="L73" s="12" t="n">
        <v>17</v>
      </c>
      <c r="M73" s="12" t="n">
        <v>3</v>
      </c>
      <c r="N73" s="12" t="n">
        <v>0</v>
      </c>
      <c r="O73" s="12" t="n">
        <v>7</v>
      </c>
      <c r="P73" s="12" t="n">
        <v>2</v>
      </c>
      <c r="Q73" s="12" t="n">
        <v>3</v>
      </c>
      <c r="R73" s="12" t="n">
        <v>0</v>
      </c>
      <c r="S73" s="12" t="n">
        <v>11</v>
      </c>
      <c r="T73" s="13" t="inlineStr">
        <is>
          <t>Current Topics in Medicinal Chemistry; Bioorganic Chemistry; Journal of Chemical Information and Modeling; Materials</t>
        </is>
      </c>
      <c r="U73" s="14" t="inlineStr">
        <is>
          <t>Verificado</t>
        </is>
      </c>
      <c r="V73" s="13" t="inlineStr"/>
    </row>
    <row r="74">
      <c r="A74" s="12" t="n">
        <v>625302</v>
      </c>
      <c r="B74" s="13" t="inlineStr">
        <is>
          <t>Jorge Manuel Ortega González</t>
        </is>
      </c>
      <c r="C74" s="12" t="inlineStr"/>
      <c r="D74" s="13" t="inlineStr"/>
      <c r="E74" s="13" t="inlineStr">
        <is>
          <t>OpenAlex (sin ORCID)</t>
        </is>
      </c>
      <c r="F74" s="12" t="n">
        <v>1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1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3" t="inlineStr"/>
      <c r="U74" s="14" t="inlineStr">
        <is>
          <t>Verificado (perfil minimo)</t>
        </is>
      </c>
      <c r="V74" s="13" t="inlineStr"/>
    </row>
    <row r="75">
      <c r="A75" s="12" t="n">
        <v>785560</v>
      </c>
      <c r="B75" s="13" t="inlineStr">
        <is>
          <t>Claudia Rosa Santiago Ramírez</t>
        </is>
      </c>
      <c r="C75" s="12" t="inlineStr">
        <is>
          <t>0000-0002-7733-1671</t>
        </is>
      </c>
      <c r="D75" s="13" t="inlineStr">
        <is>
          <t>https://orcid.org/0000-0002-7733-1671</t>
        </is>
      </c>
      <c r="E75" s="13" t="inlineStr">
        <is>
          <t>OpenAlex + ORCID</t>
        </is>
      </c>
      <c r="F75" s="12" t="n">
        <v>4</v>
      </c>
      <c r="G75" s="12" t="n">
        <v>204</v>
      </c>
      <c r="H75" s="12" t="n">
        <v>3</v>
      </c>
      <c r="I75" s="12" t="n">
        <v>3</v>
      </c>
      <c r="J75" s="12" t="n">
        <v>2</v>
      </c>
      <c r="K75" s="12" t="n">
        <v>51</v>
      </c>
      <c r="L75" s="12" t="n">
        <v>4</v>
      </c>
      <c r="M75" s="12" t="n">
        <v>0</v>
      </c>
      <c r="N75" s="12" t="n">
        <v>0</v>
      </c>
      <c r="O75" s="12" t="n">
        <v>3</v>
      </c>
      <c r="P75" s="12" t="n">
        <v>1</v>
      </c>
      <c r="Q75" s="12" t="n">
        <v>0</v>
      </c>
      <c r="R75" s="12" t="n">
        <v>0</v>
      </c>
      <c r="S75" s="12" t="n">
        <v>0</v>
      </c>
      <c r="T75" s="13" t="inlineStr">
        <is>
          <t>Applied Catalysis B: Environmental; Journal of Materials Science; Electrochem</t>
        </is>
      </c>
      <c r="U75" s="14" t="inlineStr">
        <is>
          <t>Verificado (perfil pequeno)</t>
        </is>
      </c>
      <c r="V75" s="13" t="inlineStr"/>
    </row>
    <row r="76">
      <c r="A76" s="12" t="n">
        <v>411567</v>
      </c>
      <c r="B76" s="13" t="inlineStr">
        <is>
          <t>Maricela Rodriguez Nieto</t>
        </is>
      </c>
      <c r="C76" s="12" t="inlineStr">
        <is>
          <t>0000-0003-0422-5779</t>
        </is>
      </c>
      <c r="D76" s="13" t="inlineStr">
        <is>
          <t>https://orcid.org/0000-0003-0422-5779</t>
        </is>
      </c>
      <c r="E76" s="13" t="inlineStr">
        <is>
          <t>OpenAlex + ORCID</t>
        </is>
      </c>
      <c r="F76" s="12" t="n">
        <v>12</v>
      </c>
      <c r="G76" s="12" t="n">
        <v>46</v>
      </c>
      <c r="H76" s="12" t="n">
        <v>3</v>
      </c>
      <c r="I76" s="12" t="n">
        <v>2</v>
      </c>
      <c r="J76" s="12" t="n">
        <v>1</v>
      </c>
      <c r="K76" s="12" t="n">
        <v>3.8</v>
      </c>
      <c r="L76" s="12" t="n">
        <v>11</v>
      </c>
      <c r="M76" s="12" t="n">
        <v>1</v>
      </c>
      <c r="N76" s="12" t="n">
        <v>0</v>
      </c>
      <c r="O76" s="12" t="n">
        <v>6</v>
      </c>
      <c r="P76" s="12" t="n">
        <v>2</v>
      </c>
      <c r="Q76" s="12" t="n">
        <v>3</v>
      </c>
      <c r="R76" s="12" t="n">
        <v>0</v>
      </c>
      <c r="S76" s="12" t="n">
        <v>1</v>
      </c>
      <c r="T76" s="13" t="inlineStr">
        <is>
          <t>Microscopy and Microanalysis; J. mechanical behavior of biomedical materials; Biomechanics and Modeling in Mechanobiology; Bone</t>
        </is>
      </c>
      <c r="U76" s="14" t="inlineStr">
        <is>
          <t>Verificado</t>
        </is>
      </c>
      <c r="V76" s="13" t="inlineStr"/>
    </row>
    <row r="77">
      <c r="A77" s="12" t="n">
        <v>414969</v>
      </c>
      <c r="B77" s="13" t="inlineStr">
        <is>
          <t>Daniel Toral Acosta</t>
        </is>
      </c>
      <c r="C77" s="12" t="inlineStr">
        <is>
          <t>0000-0002-7233-2456</t>
        </is>
      </c>
      <c r="D77" s="13" t="inlineStr">
        <is>
          <t>https://orcid.org/0000-0002-7233-2456</t>
        </is>
      </c>
      <c r="E77" s="13" t="inlineStr">
        <is>
          <t>OpenAlex + ORCID</t>
        </is>
      </c>
      <c r="F77" s="12" t="n">
        <v>29</v>
      </c>
      <c r="G77" s="12" t="n">
        <v>121</v>
      </c>
      <c r="H77" s="12" t="n">
        <v>7</v>
      </c>
      <c r="I77" s="12" t="n">
        <v>4</v>
      </c>
      <c r="J77" s="12" t="n">
        <v>0.33</v>
      </c>
      <c r="K77" s="12" t="n">
        <v>4.2</v>
      </c>
      <c r="L77" s="12" t="n">
        <v>19</v>
      </c>
      <c r="M77" s="12" t="n">
        <v>1</v>
      </c>
      <c r="N77" s="12" t="n">
        <v>0</v>
      </c>
      <c r="O77" s="12" t="n">
        <v>3</v>
      </c>
      <c r="P77" s="12" t="n">
        <v>9</v>
      </c>
      <c r="Q77" s="12" t="n">
        <v>4</v>
      </c>
      <c r="R77" s="12" t="n">
        <v>1</v>
      </c>
      <c r="S77" s="12" t="n">
        <v>8</v>
      </c>
      <c r="T77" s="13" t="inlineStr">
        <is>
          <t>Laser Physics; IEEE Photonics Technology Letters; Applied Optics; Optics &amp; Laser Technology</t>
        </is>
      </c>
      <c r="U77" s="14" t="inlineStr">
        <is>
          <t>Verificado</t>
        </is>
      </c>
      <c r="V77" s="13" t="inlineStr"/>
    </row>
    <row r="78">
      <c r="A78" s="12" t="n">
        <v>1144698</v>
      </c>
      <c r="B78" s="13" t="inlineStr">
        <is>
          <t>Arturo Erick Torres Cavazos</t>
        </is>
      </c>
      <c r="C78" s="12" t="inlineStr">
        <is>
          <t>0000-0002-5827-4691</t>
        </is>
      </c>
      <c r="D78" s="13" t="inlineStr">
        <is>
          <t>https://orcid.org/0000-0002-5827-4691</t>
        </is>
      </c>
      <c r="E78" s="13" t="inlineStr">
        <is>
          <t>ORCID (registro)</t>
        </is>
      </c>
      <c r="F78" s="12" t="n"/>
      <c r="G78" s="12" t="n"/>
      <c r="H78" s="12" t="n"/>
      <c r="I78" s="12" t="n"/>
      <c r="J78" s="12" t="n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3" t="inlineStr"/>
      <c r="U78" s="16" t="inlineStr">
        <is>
          <t>ORCID hallado; sin perfil en OpenAlex (revisar WoS/Scopus)</t>
        </is>
      </c>
      <c r="V78" s="13" t="inlineStr">
        <is>
          <t>Sin perfil en OpenAlex; revisar en WoS/Scopus</t>
        </is>
      </c>
    </row>
    <row r="79">
      <c r="A79" s="12" t="n">
        <v>785560</v>
      </c>
      <c r="B79" s="13" t="inlineStr">
        <is>
          <t>Claudia Rosa Santiago Ramírez</t>
        </is>
      </c>
      <c r="C79" s="12" t="inlineStr">
        <is>
          <t>0000-0002-7733-1671</t>
        </is>
      </c>
      <c r="D79" s="13" t="inlineStr">
        <is>
          <t>https://orcid.org/0000-0002-7733-1671</t>
        </is>
      </c>
      <c r="E79" s="13" t="inlineStr">
        <is>
          <t>OpenAlex + ORCID</t>
        </is>
      </c>
      <c r="F79" s="12" t="n">
        <v>4</v>
      </c>
      <c r="G79" s="12" t="n">
        <v>204</v>
      </c>
      <c r="H79" s="12" t="n">
        <v>3</v>
      </c>
      <c r="I79" s="12" t="n">
        <v>3</v>
      </c>
      <c r="J79" s="12" t="n">
        <v>2</v>
      </c>
      <c r="K79" s="12" t="n">
        <v>51</v>
      </c>
      <c r="L79" s="12" t="n">
        <v>4</v>
      </c>
      <c r="M79" s="12" t="n">
        <v>0</v>
      </c>
      <c r="N79" s="12" t="n">
        <v>0</v>
      </c>
      <c r="O79" s="12" t="n">
        <v>3</v>
      </c>
      <c r="P79" s="12" t="n">
        <v>1</v>
      </c>
      <c r="Q79" s="12" t="n">
        <v>0</v>
      </c>
      <c r="R79" s="12" t="n">
        <v>0</v>
      </c>
      <c r="S79" s="12" t="n">
        <v>0</v>
      </c>
      <c r="T79" s="13" t="inlineStr">
        <is>
          <t>Applied Catalysis B: Environmental; Journal of Materials Science; Electrochem</t>
        </is>
      </c>
      <c r="U79" s="14" t="inlineStr">
        <is>
          <t>Verificado (perfil pequeno)</t>
        </is>
      </c>
      <c r="V79" s="13" t="inlineStr"/>
    </row>
    <row r="80">
      <c r="A80" s="12" t="n">
        <v>553278</v>
      </c>
      <c r="B80" s="13" t="inlineStr">
        <is>
          <t>Daniel Arturo Acuña Leal</t>
        </is>
      </c>
      <c r="C80" s="12" t="inlineStr">
        <is>
          <t>0000-0002-9045-4190</t>
        </is>
      </c>
      <c r="D80" s="13" t="inlineStr">
        <is>
          <t>https://orcid.org/0000-0002-9045-4190</t>
        </is>
      </c>
      <c r="E80" s="13" t="inlineStr">
        <is>
          <t>OpenAlex + ORCID</t>
        </is>
      </c>
      <c r="F80" s="12" t="n">
        <v>8</v>
      </c>
      <c r="G80" s="12" t="n">
        <v>82</v>
      </c>
      <c r="H80" s="12" t="n">
        <v>5</v>
      </c>
      <c r="I80" s="12" t="n">
        <v>4</v>
      </c>
      <c r="J80" s="12" t="n">
        <v>2</v>
      </c>
      <c r="K80" s="12" t="n">
        <v>10.2</v>
      </c>
      <c r="L80" s="12" t="n">
        <v>6</v>
      </c>
      <c r="M80" s="12" t="n">
        <v>0</v>
      </c>
      <c r="N80" s="12" t="n">
        <v>0</v>
      </c>
      <c r="O80" s="12" t="n">
        <v>4</v>
      </c>
      <c r="P80" s="12" t="n">
        <v>3</v>
      </c>
      <c r="Q80" s="12" t="n">
        <v>0</v>
      </c>
      <c r="R80" s="12" t="n">
        <v>0</v>
      </c>
      <c r="S80" s="12" t="n">
        <v>0</v>
      </c>
      <c r="T80" s="13" t="inlineStr">
        <is>
          <t>Journal of Applied Physics; Inorganics; Materials Today Communications; Nanotechnology Reviews</t>
        </is>
      </c>
      <c r="U80" s="14" t="inlineStr">
        <is>
          <t>Verificado</t>
        </is>
      </c>
      <c r="V80" s="13" t="inlineStr"/>
    </row>
    <row r="81">
      <c r="A81" s="12" t="n">
        <v>412150</v>
      </c>
      <c r="B81" s="13" t="inlineStr">
        <is>
          <t>Diego Gerardo Gómez Pérez</t>
        </is>
      </c>
      <c r="C81" s="12" t="inlineStr">
        <is>
          <t>0000-0002-1583-5321</t>
        </is>
      </c>
      <c r="D81" s="13" t="inlineStr">
        <is>
          <t>https://orcid.org/0000-0002-1583-5321</t>
        </is>
      </c>
      <c r="E81" s="13" t="inlineStr">
        <is>
          <t>OpenAlex + ORCID</t>
        </is>
      </c>
      <c r="F81" s="12" t="n">
        <v>1</v>
      </c>
      <c r="G81" s="12" t="n">
        <v>1</v>
      </c>
      <c r="H81" s="12" t="n">
        <v>1</v>
      </c>
      <c r="I81" s="12" t="n">
        <v>0</v>
      </c>
      <c r="J81" s="12" t="n">
        <v>1</v>
      </c>
      <c r="K81" s="12" t="n">
        <v>1</v>
      </c>
      <c r="L81" s="12" t="n">
        <v>1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1</v>
      </c>
      <c r="S81" s="12" t="n">
        <v>0</v>
      </c>
      <c r="T81" s="13" t="inlineStr">
        <is>
          <t>Revista Mexicana de Física E</t>
        </is>
      </c>
      <c r="U81" s="14" t="inlineStr">
        <is>
          <t>Verificado (perfil minimo)</t>
        </is>
      </c>
      <c r="V81" s="13" t="inlineStr"/>
    </row>
    <row r="82">
      <c r="A82" s="12" t="n">
        <v>2011953</v>
      </c>
      <c r="B82" s="13" t="inlineStr">
        <is>
          <t>Elizabeth Guajardo García</t>
        </is>
      </c>
      <c r="C82" s="12" t="inlineStr">
        <is>
          <t>0009-0002-8089-9636</t>
        </is>
      </c>
      <c r="D82" s="13" t="inlineStr">
        <is>
          <t>https://orcid.org/0009-0002-8089-9636</t>
        </is>
      </c>
      <c r="E82" s="13" t="inlineStr">
        <is>
          <t>OpenAlex + ORCID</t>
        </is>
      </c>
      <c r="F82" s="12" t="n">
        <v>4</v>
      </c>
      <c r="G82" s="12" t="n">
        <v>2</v>
      </c>
      <c r="H82" s="12" t="n">
        <v>1</v>
      </c>
      <c r="I82" s="12" t="n">
        <v>0</v>
      </c>
      <c r="J82" s="12" t="n">
        <v>0.67</v>
      </c>
      <c r="K82" s="12" t="n">
        <v>0.5</v>
      </c>
      <c r="L82" s="12" t="n">
        <v>4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4</v>
      </c>
      <c r="T82" s="13" t="inlineStr">
        <is>
          <t>Ciencia Latina Revista Científica Multidisciplinar; Sciencevolution; Revista AMIUTEM</t>
        </is>
      </c>
      <c r="U82" s="14" t="inlineStr">
        <is>
          <t>Verificado (perfil pequeno)</t>
        </is>
      </c>
      <c r="V82" s="13" t="inlineStr"/>
    </row>
    <row r="83">
      <c r="A83" s="12" t="n">
        <v>850840</v>
      </c>
      <c r="B83" s="13" t="inlineStr">
        <is>
          <t>Gerardo Hernández Valdez</t>
        </is>
      </c>
      <c r="C83" s="12" t="inlineStr"/>
      <c r="D83" s="13" t="inlineStr"/>
      <c r="E83" s="13" t="inlineStr">
        <is>
          <t>OpenAlex (sin ORCID)</t>
        </is>
      </c>
      <c r="F83" s="12" t="n">
        <v>2</v>
      </c>
      <c r="G83" s="12" t="n">
        <v>3</v>
      </c>
      <c r="H83" s="12" t="n">
        <v>1</v>
      </c>
      <c r="I83" s="12" t="n">
        <v>0</v>
      </c>
      <c r="J83" s="12" t="n">
        <v>0</v>
      </c>
      <c r="K83" s="12" t="n">
        <v>1.5</v>
      </c>
      <c r="L83" s="12" t="n">
        <v>2</v>
      </c>
      <c r="M83" s="12" t="n">
        <v>0</v>
      </c>
      <c r="N83" s="12" t="n">
        <v>0</v>
      </c>
      <c r="O83" s="12" t="n">
        <v>0</v>
      </c>
      <c r="P83" s="12" t="n">
        <v>1</v>
      </c>
      <c r="Q83" s="12" t="n">
        <v>0</v>
      </c>
      <c r="R83" s="12" t="n">
        <v>0</v>
      </c>
      <c r="S83" s="12" t="n">
        <v>1</v>
      </c>
      <c r="T83" s="13" t="inlineStr">
        <is>
          <t>Topology and its Applications; Revista Integración</t>
        </is>
      </c>
      <c r="U83" s="16" t="inlineStr">
        <is>
          <t>Verificado (perfil pequeno; afil. BUAP, revisar)</t>
        </is>
      </c>
      <c r="V83" s="13" t="inlineStr"/>
    </row>
    <row r="84">
      <c r="A84" s="12" t="n">
        <v>1076899</v>
      </c>
      <c r="B84" s="13" t="inlineStr">
        <is>
          <t>Gerardo Palafox Castillo</t>
        </is>
      </c>
      <c r="C84" s="12" t="inlineStr">
        <is>
          <t>0000-0002-9925-6991</t>
        </is>
      </c>
      <c r="D84" s="13" t="inlineStr">
        <is>
          <t>https://orcid.org/0000-0002-9925-6991</t>
        </is>
      </c>
      <c r="E84" s="13" t="inlineStr">
        <is>
          <t>OpenAlex + ORCID</t>
        </is>
      </c>
      <c r="F84" s="12" t="n">
        <v>10</v>
      </c>
      <c r="G84" s="12" t="n">
        <v>28</v>
      </c>
      <c r="H84" s="12" t="n">
        <v>3</v>
      </c>
      <c r="I84" s="12" t="n">
        <v>1</v>
      </c>
      <c r="J84" s="12" t="n">
        <v>0</v>
      </c>
      <c r="K84" s="12" t="n">
        <v>2.8</v>
      </c>
      <c r="L84" s="12" t="n">
        <v>3</v>
      </c>
      <c r="M84" s="12" t="n">
        <v>7</v>
      </c>
      <c r="N84" s="12" t="n">
        <v>0</v>
      </c>
      <c r="O84" s="12" t="n">
        <v>0</v>
      </c>
      <c r="P84" s="12" t="n">
        <v>1</v>
      </c>
      <c r="Q84" s="12" t="n">
        <v>0</v>
      </c>
      <c r="R84" s="12" t="n">
        <v>0</v>
      </c>
      <c r="S84" s="12" t="n">
        <v>9</v>
      </c>
      <c r="T84" s="13" t="inlineStr">
        <is>
          <t>Physica A Statistical Mechanics and its Applications; The Annals of Applied Probability</t>
        </is>
      </c>
      <c r="U84" s="14" t="inlineStr">
        <is>
          <t>Verificado</t>
        </is>
      </c>
      <c r="V84" s="13" t="inlineStr"/>
    </row>
    <row r="85">
      <c r="A85" s="12" t="n">
        <v>436440</v>
      </c>
      <c r="B85" s="13" t="inlineStr">
        <is>
          <t>Guillermo Ezequiel Sánchez Guerrero</t>
        </is>
      </c>
      <c r="C85" s="12" t="inlineStr">
        <is>
          <t>0000-0002-8050-9952</t>
        </is>
      </c>
      <c r="D85" s="13" t="inlineStr">
        <is>
          <t>https://orcid.org/0000-0002-8050-9952</t>
        </is>
      </c>
      <c r="E85" s="13" t="inlineStr">
        <is>
          <t>OpenAlex + ORCID</t>
        </is>
      </c>
      <c r="F85" s="12" t="n">
        <v>26</v>
      </c>
      <c r="G85" s="12" t="n">
        <v>20</v>
      </c>
      <c r="H85" s="12" t="n">
        <v>2</v>
      </c>
      <c r="I85" s="12" t="n">
        <v>0</v>
      </c>
      <c r="J85" s="12" t="n">
        <v>0.5</v>
      </c>
      <c r="K85" s="12" t="n">
        <v>0.8</v>
      </c>
      <c r="L85" s="12" t="n">
        <v>5</v>
      </c>
      <c r="M85" s="12" t="n">
        <v>1</v>
      </c>
      <c r="N85" s="12" t="n">
        <v>0</v>
      </c>
      <c r="O85" s="12" t="n">
        <v>0</v>
      </c>
      <c r="P85" s="12" t="n">
        <v>1</v>
      </c>
      <c r="Q85" s="12" t="n">
        <v>3</v>
      </c>
      <c r="R85" s="12" t="n">
        <v>0</v>
      </c>
      <c r="S85" s="12" t="n">
        <v>12</v>
      </c>
      <c r="T85" s="13" t="inlineStr">
        <is>
          <t>Optical Engineering; Mathematical Problems in Engineering; Computer; Research in Computing Science</t>
        </is>
      </c>
      <c r="U85" s="14" t="inlineStr">
        <is>
          <t>Verificado</t>
        </is>
      </c>
      <c r="V85" s="13" t="inlineStr"/>
    </row>
    <row r="86">
      <c r="A86" s="12" t="n">
        <v>636227</v>
      </c>
      <c r="B86" s="13" t="inlineStr">
        <is>
          <t>Jobish Vallikavungal Devassia</t>
        </is>
      </c>
      <c r="C86" s="12" t="inlineStr">
        <is>
          <t>0000-0003-4238-5829</t>
        </is>
      </c>
      <c r="D86" s="13" t="inlineStr">
        <is>
          <t>https://orcid.org/0000-0003-4238-5829</t>
        </is>
      </c>
      <c r="E86" s="13" t="inlineStr">
        <is>
          <t>OpenAlex + ORCID</t>
        </is>
      </c>
      <c r="F86" s="12" t="n">
        <v>13</v>
      </c>
      <c r="G86" s="12" t="n">
        <v>129</v>
      </c>
      <c r="H86" s="12" t="n">
        <v>6</v>
      </c>
      <c r="I86" s="12" t="n">
        <v>3</v>
      </c>
      <c r="J86" s="12" t="n">
        <v>1.5</v>
      </c>
      <c r="K86" s="12" t="n">
        <v>9.9</v>
      </c>
      <c r="L86" s="12" t="n">
        <v>13</v>
      </c>
      <c r="M86" s="12" t="n">
        <v>0</v>
      </c>
      <c r="N86" s="12" t="n">
        <v>0</v>
      </c>
      <c r="O86" s="12" t="n">
        <v>6</v>
      </c>
      <c r="P86" s="12" t="n">
        <v>2</v>
      </c>
      <c r="Q86" s="12" t="n">
        <v>0</v>
      </c>
      <c r="R86" s="12" t="n">
        <v>1</v>
      </c>
      <c r="S86" s="12" t="n">
        <v>4</v>
      </c>
      <c r="T86" s="13" t="inlineStr">
        <is>
          <t>Computers &amp; Industrial Engineering; IEEE Access; Expert Systems with Applications; Discrete Mathematics Algorithms and Applications</t>
        </is>
      </c>
      <c r="U86" s="14" t="inlineStr">
        <is>
          <t>Verificado</t>
        </is>
      </c>
      <c r="V86" s="13" t="inlineStr"/>
    </row>
    <row r="87">
      <c r="A87" s="12" t="n">
        <v>839062</v>
      </c>
      <c r="B87" s="13" t="inlineStr">
        <is>
          <t>Jonathan Emmanuel Treviño Marroquín</t>
        </is>
      </c>
      <c r="C87" s="12" t="inlineStr">
        <is>
          <t>0000-0001-6325-4057</t>
        </is>
      </c>
      <c r="D87" s="13" t="inlineStr">
        <is>
          <t>https://orcid.org/0000-0001-6325-4057</t>
        </is>
      </c>
      <c r="E87" s="13" t="inlineStr">
        <is>
          <t>OpenAlex + ORCID</t>
        </is>
      </c>
      <c r="F87" s="12" t="n">
        <v>6</v>
      </c>
      <c r="G87" s="12" t="n">
        <v>1</v>
      </c>
      <c r="H87" s="12" t="n">
        <v>1</v>
      </c>
      <c r="I87" s="12" t="n">
        <v>0</v>
      </c>
      <c r="J87" s="12" t="n">
        <v>0.2</v>
      </c>
      <c r="K87" s="12" t="n">
        <v>0.2</v>
      </c>
      <c r="L87" s="12" t="n">
        <v>1</v>
      </c>
      <c r="M87" s="12" t="n">
        <v>5</v>
      </c>
      <c r="N87" s="12" t="n">
        <v>0</v>
      </c>
      <c r="O87" s="12" t="n">
        <v>0</v>
      </c>
      <c r="P87" s="12" t="n">
        <v>1</v>
      </c>
      <c r="Q87" s="12" t="n">
        <v>0</v>
      </c>
      <c r="R87" s="12" t="n">
        <v>0</v>
      </c>
      <c r="S87" s="12" t="n">
        <v>5</v>
      </c>
      <c r="T87" s="13" t="inlineStr">
        <is>
          <t>Advances in Applied Mathematics</t>
        </is>
      </c>
      <c r="U87" s="14" t="inlineStr">
        <is>
          <t>Verificado (perfil pequeno)</t>
        </is>
      </c>
      <c r="V87" s="13" t="inlineStr"/>
    </row>
    <row r="88">
      <c r="A88" s="12" t="n">
        <v>546036</v>
      </c>
      <c r="B88" s="13" t="inlineStr">
        <is>
          <t>Jose Daniel Mosquera Artamonov</t>
        </is>
      </c>
      <c r="C88" s="12" t="inlineStr">
        <is>
          <t>0000-0001-5419-6561</t>
        </is>
      </c>
      <c r="D88" s="13" t="inlineStr">
        <is>
          <t>https://orcid.org/0000-0001-5419-6561</t>
        </is>
      </c>
      <c r="E88" s="13" t="inlineStr">
        <is>
          <t>OpenAlex + ORCID</t>
        </is>
      </c>
      <c r="F88" s="12" t="n">
        <v>21</v>
      </c>
      <c r="G88" s="12" t="n">
        <v>145</v>
      </c>
      <c r="H88" s="12" t="n">
        <v>6</v>
      </c>
      <c r="I88" s="12" t="n">
        <v>4</v>
      </c>
      <c r="J88" s="12" t="n">
        <v>5</v>
      </c>
      <c r="K88" s="12" t="n">
        <v>6.9</v>
      </c>
      <c r="L88" s="12" t="n">
        <v>21</v>
      </c>
      <c r="M88" s="12" t="n">
        <v>0</v>
      </c>
      <c r="N88" s="12" t="n">
        <v>0</v>
      </c>
      <c r="O88" s="12" t="n">
        <v>2</v>
      </c>
      <c r="P88" s="12" t="n">
        <v>2</v>
      </c>
      <c r="Q88" s="12" t="n">
        <v>3</v>
      </c>
      <c r="R88" s="12" t="n">
        <v>5</v>
      </c>
      <c r="S88" s="12" t="n">
        <v>7</v>
      </c>
      <c r="T88" s="13" t="inlineStr">
        <is>
          <t>Ingeniería e Investigación; Revista de Metalurgia; Revista Lasallista de Investigación; Multimedia Tools and Applications</t>
        </is>
      </c>
      <c r="U88" s="14" t="inlineStr">
        <is>
          <t>Verificado</t>
        </is>
      </c>
      <c r="V88" s="13" t="inlineStr"/>
    </row>
    <row r="89">
      <c r="A89" s="12" t="n">
        <v>1009928</v>
      </c>
      <c r="B89" s="13" t="inlineStr">
        <is>
          <t>José Gerardo Piña Aguirre</t>
        </is>
      </c>
      <c r="C89" s="12" t="inlineStr">
        <is>
          <t>0000-0001-8201-7110</t>
        </is>
      </c>
      <c r="D89" s="13" t="inlineStr">
        <is>
          <t>https://orcid.org/0000-0001-8201-7110</t>
        </is>
      </c>
      <c r="E89" s="13" t="inlineStr">
        <is>
          <t>OpenAlex + ORCID</t>
        </is>
      </c>
      <c r="F89" s="12" t="n">
        <v>7</v>
      </c>
      <c r="G89" s="12" t="n">
        <v>1</v>
      </c>
      <c r="H89" s="12" t="n">
        <v>1</v>
      </c>
      <c r="I89" s="12" t="n">
        <v>0</v>
      </c>
      <c r="J89" s="12" t="n">
        <v>0</v>
      </c>
      <c r="K89" s="12" t="n">
        <v>0.1</v>
      </c>
      <c r="L89" s="12" t="n">
        <v>5</v>
      </c>
      <c r="M89" s="12" t="n">
        <v>0</v>
      </c>
      <c r="N89" s="12" t="n">
        <v>0</v>
      </c>
      <c r="O89" s="12" t="n">
        <v>0</v>
      </c>
      <c r="P89" s="12" t="n">
        <v>1</v>
      </c>
      <c r="Q89" s="12" t="n">
        <v>0</v>
      </c>
      <c r="R89" s="12" t="n">
        <v>1</v>
      </c>
      <c r="S89" s="12" t="n">
        <v>5</v>
      </c>
      <c r="T89" s="13" t="inlineStr">
        <is>
          <t>Journal of Humanistic Mathematics; British Journal for the History of Mathematics; International Electronic Journal of Mathematics Education</t>
        </is>
      </c>
      <c r="U89" s="14" t="inlineStr">
        <is>
          <t>Verificado (perfil pequeno)</t>
        </is>
      </c>
      <c r="V89" s="13" t="inlineStr"/>
    </row>
    <row r="90">
      <c r="A90" s="12" t="n">
        <v>120820</v>
      </c>
      <c r="B90" s="13" t="inlineStr">
        <is>
          <t>José Rubén Morones Ibarra</t>
        </is>
      </c>
      <c r="C90" s="12" t="inlineStr">
        <is>
          <t>0000-0003-0219-3064</t>
        </is>
      </c>
      <c r="D90" s="13" t="inlineStr">
        <is>
          <t>https://orcid.org/0000-0003-0219-3064</t>
        </is>
      </c>
      <c r="E90" s="13" t="inlineStr">
        <is>
          <t>OpenAlex + ORCID</t>
        </is>
      </c>
      <c r="F90" s="12" t="n">
        <v>15</v>
      </c>
      <c r="G90" s="12" t="n">
        <v>13</v>
      </c>
      <c r="H90" s="12" t="n">
        <v>2</v>
      </c>
      <c r="I90" s="12" t="n">
        <v>0</v>
      </c>
      <c r="J90" s="12" t="n">
        <v>0</v>
      </c>
      <c r="K90" s="12" t="n">
        <v>0.9</v>
      </c>
      <c r="L90" s="12" t="n">
        <v>12</v>
      </c>
      <c r="M90" s="12" t="n">
        <v>2</v>
      </c>
      <c r="N90" s="12" t="n">
        <v>0</v>
      </c>
      <c r="O90" s="12" t="n">
        <v>1</v>
      </c>
      <c r="P90" s="12" t="n">
        <v>1</v>
      </c>
      <c r="Q90" s="12" t="n">
        <v>4</v>
      </c>
      <c r="R90" s="12" t="n">
        <v>0</v>
      </c>
      <c r="S90" s="12" t="n">
        <v>8</v>
      </c>
      <c r="T90" s="13" t="inlineStr">
        <is>
          <t>Ingenierias; International Journal of Modern Physics A; Universe; Particles</t>
        </is>
      </c>
      <c r="U90" s="14" t="inlineStr">
        <is>
          <t>Verificado (perfil muy fragmentado; subestima)</t>
        </is>
      </c>
      <c r="V90" s="13" t="inlineStr"/>
    </row>
    <row r="91">
      <c r="A91" s="12" t="n">
        <v>816886</v>
      </c>
      <c r="B91" s="13" t="inlineStr">
        <is>
          <t>Juan Carlos García Velez</t>
        </is>
      </c>
      <c r="C91" s="12" t="inlineStr"/>
      <c r="D91" s="13" t="inlineStr"/>
      <c r="E91" s="13" t="inlineStr">
        <is>
          <t>OpenAlex (sin ORCID)</t>
        </is>
      </c>
      <c r="F91" s="12" t="n">
        <v>2</v>
      </c>
      <c r="G91" s="12" t="n">
        <v>6</v>
      </c>
      <c r="H91" s="12" t="n">
        <v>2</v>
      </c>
      <c r="I91" s="12" t="n">
        <v>0</v>
      </c>
      <c r="J91" s="12" t="n">
        <v>0</v>
      </c>
      <c r="K91" s="12" t="n">
        <v>3</v>
      </c>
      <c r="L91" s="12" t="n">
        <v>2</v>
      </c>
      <c r="M91" s="12" t="n">
        <v>0</v>
      </c>
      <c r="N91" s="12" t="n">
        <v>0</v>
      </c>
      <c r="O91" s="12" t="n">
        <v>0</v>
      </c>
      <c r="P91" s="12" t="n">
        <v>1</v>
      </c>
      <c r="Q91" s="12" t="n">
        <v>0</v>
      </c>
      <c r="R91" s="12" t="n">
        <v>0</v>
      </c>
      <c r="S91" s="12" t="n">
        <v>1</v>
      </c>
      <c r="T91" s="13" t="inlineStr">
        <is>
          <t>Computers &amp; Operations Research; Mobile Networks and Applications</t>
        </is>
      </c>
      <c r="U91" s="14" t="inlineStr">
        <is>
          <t>Verificado (perfil pequeno, sin ORCID)</t>
        </is>
      </c>
      <c r="V91" s="13" t="inlineStr"/>
    </row>
    <row r="92">
      <c r="A92" s="12" t="n">
        <v>631346</v>
      </c>
      <c r="B92" s="13" t="inlineStr">
        <is>
          <t>Juanita Hernández López</t>
        </is>
      </c>
      <c r="C92" s="12" t="inlineStr">
        <is>
          <t>0000-0002-7301-1478</t>
        </is>
      </c>
      <c r="D92" s="13" t="inlineStr">
        <is>
          <t>https://orcid.org/0000-0002-7301-1478</t>
        </is>
      </c>
      <c r="E92" s="13" t="inlineStr">
        <is>
          <t>OpenAlex + ORCID</t>
        </is>
      </c>
      <c r="F92" s="12" t="n">
        <v>18</v>
      </c>
      <c r="G92" s="12" t="n">
        <v>90</v>
      </c>
      <c r="H92" s="12" t="n">
        <v>4</v>
      </c>
      <c r="I92" s="12" t="n">
        <v>4</v>
      </c>
      <c r="J92" s="12" t="n">
        <v>0.14</v>
      </c>
      <c r="K92" s="12" t="n">
        <v>5</v>
      </c>
      <c r="L92" s="12" t="n">
        <v>6</v>
      </c>
      <c r="M92" s="12" t="n">
        <v>0</v>
      </c>
      <c r="N92" s="12" t="n">
        <v>0</v>
      </c>
      <c r="O92" s="12" t="n">
        <v>6</v>
      </c>
      <c r="P92" s="12" t="n">
        <v>1</v>
      </c>
      <c r="Q92" s="12" t="n">
        <v>0</v>
      </c>
      <c r="R92" s="12" t="n">
        <v>1</v>
      </c>
      <c r="S92" s="12" t="n">
        <v>5</v>
      </c>
      <c r="T92" s="13" t="inlineStr">
        <is>
          <t>Cancer Research; Computer Methods and Programs in Biomedicine; Applied Soft Computing</t>
        </is>
      </c>
      <c r="U92" s="14" t="inlineStr">
        <is>
          <t>Verificado</t>
        </is>
      </c>
      <c r="V92" s="13" t="inlineStr"/>
    </row>
    <row r="93">
      <c r="A93" s="12" t="n">
        <v>1156966</v>
      </c>
      <c r="B93" s="13" t="inlineStr">
        <is>
          <t>Karan Kishor Singh</t>
        </is>
      </c>
      <c r="C93" s="12" t="inlineStr">
        <is>
          <t>0009-0003-5235-2083</t>
        </is>
      </c>
      <c r="D93" s="13" t="inlineStr">
        <is>
          <t>https://orcid.org/0009-0003-5235-2083</t>
        </is>
      </c>
      <c r="E93" s="13" t="inlineStr">
        <is>
          <t>OpenAlex + ORCID</t>
        </is>
      </c>
      <c r="F93" s="12" t="n">
        <v>7</v>
      </c>
      <c r="G93" s="12" t="n">
        <v>49</v>
      </c>
      <c r="H93" s="12" t="n">
        <v>3</v>
      </c>
      <c r="I93" s="12" t="n">
        <v>3</v>
      </c>
      <c r="J93" s="12" t="n">
        <v>0.75</v>
      </c>
      <c r="K93" s="12" t="n">
        <v>7</v>
      </c>
      <c r="L93" s="12" t="n">
        <v>4</v>
      </c>
      <c r="M93" s="12" t="n">
        <v>1</v>
      </c>
      <c r="N93" s="12" t="n">
        <v>1</v>
      </c>
      <c r="O93" s="12" t="n">
        <v>3</v>
      </c>
      <c r="P93" s="12" t="n">
        <v>1</v>
      </c>
      <c r="Q93" s="12" t="n">
        <v>0</v>
      </c>
      <c r="R93" s="12" t="n">
        <v>0</v>
      </c>
      <c r="S93" s="12" t="n">
        <v>2</v>
      </c>
      <c r="T93" s="13" t="inlineStr">
        <is>
          <t>International Journal of Energy Research; Materials; Electrochimica Acta; ECS Meeting Abstracts</t>
        </is>
      </c>
      <c r="U93" s="14" t="inlineStr">
        <is>
          <t>Verificado</t>
        </is>
      </c>
      <c r="V93" s="13" t="inlineStr"/>
    </row>
    <row r="94">
      <c r="A94" s="12" t="n">
        <v>854945</v>
      </c>
      <c r="B94" s="13" t="inlineStr">
        <is>
          <t>Luis Angel Gutierrez Rodríguez</t>
        </is>
      </c>
      <c r="C94" s="12" t="inlineStr">
        <is>
          <t>0000-0003-0801-7926</t>
        </is>
      </c>
      <c r="D94" s="13" t="inlineStr">
        <is>
          <t>https://orcid.org/0000-0003-0801-7926</t>
        </is>
      </c>
      <c r="E94" s="13" t="inlineStr">
        <is>
          <t>OpenAlex + ORCID</t>
        </is>
      </c>
      <c r="F94" s="12" t="n">
        <v>11</v>
      </c>
      <c r="G94" s="12" t="n">
        <v>100</v>
      </c>
      <c r="H94" s="12" t="n">
        <v>5</v>
      </c>
      <c r="I94" s="12" t="n">
        <v>4</v>
      </c>
      <c r="J94" s="12" t="n">
        <v>4.86</v>
      </c>
      <c r="K94" s="12" t="n">
        <v>9.1</v>
      </c>
      <c r="L94" s="12" t="n">
        <v>10</v>
      </c>
      <c r="M94" s="12" t="n">
        <v>1</v>
      </c>
      <c r="N94" s="12" t="n">
        <v>0</v>
      </c>
      <c r="O94" s="12" t="n">
        <v>3</v>
      </c>
      <c r="P94" s="12" t="n">
        <v>2</v>
      </c>
      <c r="Q94" s="12" t="n">
        <v>1</v>
      </c>
      <c r="R94" s="12" t="n">
        <v>0</v>
      </c>
      <c r="S94" s="12" t="n">
        <v>5</v>
      </c>
      <c r="T94" s="13" t="inlineStr">
        <is>
          <t>The Ocular Surface; Current Opinion in Ophthalmology; Ophthalmic Research; Eye &amp; Contact Lens</t>
        </is>
      </c>
      <c r="U94" s="16" t="inlineStr">
        <is>
          <t>Verificado (revisar orden apellidos)</t>
        </is>
      </c>
      <c r="V94" s="13" t="inlineStr">
        <is>
          <t>Posible persona distinta (revistas de oftalmologia); revisar identidad.</t>
        </is>
      </c>
    </row>
    <row r="95">
      <c r="A95" s="12" t="n">
        <v>420294</v>
      </c>
      <c r="B95" s="13" t="inlineStr">
        <is>
          <t>María del Rosario Herrera Rivera</t>
        </is>
      </c>
      <c r="C95" s="12" t="inlineStr">
        <is>
          <t>0000-0003-3629-4525</t>
        </is>
      </c>
      <c r="D95" s="13" t="inlineStr">
        <is>
          <t>https://orcid.org/0000-0003-3629-4525</t>
        </is>
      </c>
      <c r="E95" s="13" t="inlineStr">
        <is>
          <t>OpenAlex + ORCID</t>
        </is>
      </c>
      <c r="F95" s="12" t="n">
        <v>16</v>
      </c>
      <c r="G95" s="12" t="n">
        <v>172</v>
      </c>
      <c r="H95" s="12" t="n">
        <v>6</v>
      </c>
      <c r="I95" s="12" t="n">
        <v>5</v>
      </c>
      <c r="J95" s="12" t="n">
        <v>2.75</v>
      </c>
      <c r="K95" s="12" t="n">
        <v>10.8</v>
      </c>
      <c r="L95" s="12" t="n">
        <v>10</v>
      </c>
      <c r="M95" s="12" t="n">
        <v>0</v>
      </c>
      <c r="N95" s="12" t="n">
        <v>0</v>
      </c>
      <c r="O95" s="12" t="n">
        <v>3</v>
      </c>
      <c r="P95" s="12" t="n">
        <v>4</v>
      </c>
      <c r="Q95" s="12" t="n">
        <v>1</v>
      </c>
      <c r="R95" s="12" t="n">
        <v>0</v>
      </c>
      <c r="S95" s="12" t="n">
        <v>2</v>
      </c>
      <c r="T95" s="13" t="inlineStr">
        <is>
          <t>Sensors; Journal of Nanotechnology; Journal of Materials Science Materials in Electronics; Physica E</t>
        </is>
      </c>
      <c r="U95" s="16" t="inlineStr">
        <is>
          <t>Verificado (revisar inicial)</t>
        </is>
      </c>
      <c r="V95" s="13" t="inlineStr"/>
    </row>
    <row r="96">
      <c r="A96" s="12" t="n">
        <v>411567</v>
      </c>
      <c r="B96" s="13" t="inlineStr">
        <is>
          <t>Maricela Rodríguez Nieto</t>
        </is>
      </c>
      <c r="C96" s="12" t="inlineStr">
        <is>
          <t>0000-0003-0422-5779</t>
        </is>
      </c>
      <c r="D96" s="13" t="inlineStr">
        <is>
          <t>https://orcid.org/0000-0003-0422-5779</t>
        </is>
      </c>
      <c r="E96" s="13" t="inlineStr">
        <is>
          <t>OpenAlex + ORCID</t>
        </is>
      </c>
      <c r="F96" s="12" t="n">
        <v>12</v>
      </c>
      <c r="G96" s="12" t="n">
        <v>46</v>
      </c>
      <c r="H96" s="12" t="n">
        <v>3</v>
      </c>
      <c r="I96" s="12" t="n">
        <v>2</v>
      </c>
      <c r="J96" s="12" t="n">
        <v>1</v>
      </c>
      <c r="K96" s="12" t="n">
        <v>3.8</v>
      </c>
      <c r="L96" s="12" t="n">
        <v>11</v>
      </c>
      <c r="M96" s="12" t="n">
        <v>1</v>
      </c>
      <c r="N96" s="12" t="n">
        <v>0</v>
      </c>
      <c r="O96" s="12" t="n">
        <v>6</v>
      </c>
      <c r="P96" s="12" t="n">
        <v>2</v>
      </c>
      <c r="Q96" s="12" t="n">
        <v>3</v>
      </c>
      <c r="R96" s="12" t="n">
        <v>0</v>
      </c>
      <c r="S96" s="12" t="n">
        <v>1</v>
      </c>
      <c r="T96" s="13" t="inlineStr">
        <is>
          <t>Microscopy and Microanalysis; J. mechanical behavior of biomedical materials; Biomechanics and Modeling in Mechanobiology; Bone</t>
        </is>
      </c>
      <c r="U96" s="14" t="inlineStr">
        <is>
          <t>Verificado</t>
        </is>
      </c>
      <c r="V96" s="13" t="inlineStr"/>
    </row>
    <row r="97">
      <c r="A97" s="12" t="n">
        <v>2040939</v>
      </c>
      <c r="B97" s="13" t="inlineStr">
        <is>
          <t>Miguel Angel Martínez Martínez</t>
        </is>
      </c>
      <c r="C97" s="12" t="inlineStr">
        <is>
          <t>0000-0001-7903-4761</t>
        </is>
      </c>
      <c r="D97" s="13" t="inlineStr">
        <is>
          <t>https://orcid.org/0000-0001-7903-4761</t>
        </is>
      </c>
      <c r="E97" s="13" t="inlineStr">
        <is>
          <t>OpenAlex + ORCID</t>
        </is>
      </c>
      <c r="F97" s="12" t="n">
        <v>86</v>
      </c>
      <c r="G97" s="12" t="n">
        <v>494</v>
      </c>
      <c r="H97" s="12" t="n">
        <v>5</v>
      </c>
      <c r="I97" s="12" t="n">
        <v>5</v>
      </c>
      <c r="J97" s="12" t="n">
        <v>0.22</v>
      </c>
      <c r="K97" s="12" t="n">
        <v>5.7</v>
      </c>
      <c r="L97" s="12" t="n">
        <v>69</v>
      </c>
      <c r="M97" s="12" t="n">
        <v>0</v>
      </c>
      <c r="N97" s="12" t="n">
        <v>15</v>
      </c>
      <c r="O97" s="12" t="n">
        <v>6</v>
      </c>
      <c r="P97" s="12" t="n">
        <v>1</v>
      </c>
      <c r="Q97" s="12" t="n">
        <v>3</v>
      </c>
      <c r="R97" s="12" t="n">
        <v>0</v>
      </c>
      <c r="S97" s="12" t="n">
        <v>62</v>
      </c>
      <c r="T97" s="13" t="inlineStr">
        <is>
          <t>Gerencia de riesgos y seguros; Blood; Resistances Journal of the Philosophy of History; Revista de orientacion educacional</t>
        </is>
      </c>
      <c r="U97" s="14" t="inlineStr">
        <is>
          <t>Verificado</t>
        </is>
      </c>
      <c r="V97" s="13" t="inlineStr"/>
    </row>
    <row r="98">
      <c r="A98" s="12" t="n">
        <v>1353706</v>
      </c>
      <c r="B98" s="13" t="inlineStr">
        <is>
          <t>Miriam Patricia Vargas Zuñiga</t>
        </is>
      </c>
      <c r="C98" s="12" t="inlineStr">
        <is>
          <t>0009-0001-9403-8995</t>
        </is>
      </c>
      <c r="D98" s="13" t="inlineStr">
        <is>
          <t>https://orcid.org/0009-0001-9403-8995</t>
        </is>
      </c>
      <c r="E98" s="13" t="inlineStr">
        <is>
          <t>OpenAlex + ORCID</t>
        </is>
      </c>
      <c r="F98" s="12" t="n">
        <v>1</v>
      </c>
      <c r="G98" s="12" t="n">
        <v>16</v>
      </c>
      <c r="H98" s="12" t="n">
        <v>1</v>
      </c>
      <c r="I98" s="12" t="n">
        <v>1</v>
      </c>
      <c r="J98" s="12" t="n">
        <v>16</v>
      </c>
      <c r="K98" s="12" t="n">
        <v>16</v>
      </c>
      <c r="L98" s="12" t="n">
        <v>1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1</v>
      </c>
      <c r="T98" s="13" t="inlineStr">
        <is>
          <t>Revista Docentes 2 0</t>
        </is>
      </c>
      <c r="U98" s="14" t="inlineStr">
        <is>
          <t>Verificado (perfil minimo)</t>
        </is>
      </c>
      <c r="V98" s="13" t="inlineStr"/>
    </row>
    <row r="99">
      <c r="A99" s="12" t="n">
        <v>2102807</v>
      </c>
      <c r="B99" s="13" t="inlineStr">
        <is>
          <t>Monica Salinas Rodríguez</t>
        </is>
      </c>
      <c r="C99" s="12" t="inlineStr">
        <is>
          <t>0000-0002-9278-9349</t>
        </is>
      </c>
      <c r="D99" s="13" t="inlineStr">
        <is>
          <t>https://orcid.org/0000-0002-9278-9349</t>
        </is>
      </c>
      <c r="E99" s="13" t="inlineStr">
        <is>
          <t>OpenAlex + ORCID</t>
        </is>
      </c>
      <c r="F99" s="12" t="n">
        <v>4</v>
      </c>
      <c r="G99" s="12" t="n">
        <v>16</v>
      </c>
      <c r="H99" s="12" t="n">
        <v>1</v>
      </c>
      <c r="I99" s="12" t="n">
        <v>1</v>
      </c>
      <c r="J99" s="12" t="n">
        <v>5.33</v>
      </c>
      <c r="K99" s="12" t="n">
        <v>4</v>
      </c>
      <c r="L99" s="12" t="n">
        <v>4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4</v>
      </c>
      <c r="T99" s="13" t="inlineStr">
        <is>
          <t>Ciencia Latina Revista Científica Multidisciplinar; RIDE; Revista Docentes 2 0; Revista Digital Palabra</t>
        </is>
      </c>
      <c r="U99" s="14" t="inlineStr">
        <is>
          <t>Verificado (perfil pequeno)</t>
        </is>
      </c>
      <c r="V99" s="13" t="inlineStr"/>
    </row>
    <row r="100">
      <c r="A100" s="12" t="n">
        <v>558824</v>
      </c>
      <c r="B100" s="13" t="inlineStr">
        <is>
          <t>Prihel Cavildo Sánchez</t>
        </is>
      </c>
      <c r="C100" s="12" t="inlineStr">
        <is>
          <t>0009-0006-9784-5078</t>
        </is>
      </c>
      <c r="D100" s="13" t="inlineStr">
        <is>
          <t>https://orcid.org/0009-0006-9784-5078</t>
        </is>
      </c>
      <c r="E100" s="13" t="inlineStr">
        <is>
          <t>OpenAlex + ORCID</t>
        </is>
      </c>
      <c r="F100" s="12" t="n">
        <v>2</v>
      </c>
      <c r="G100" s="12" t="n">
        <v>1</v>
      </c>
      <c r="H100" s="12" t="n">
        <v>1</v>
      </c>
      <c r="I100" s="12" t="n">
        <v>0</v>
      </c>
      <c r="J100" s="12" t="n">
        <v>0</v>
      </c>
      <c r="K100" s="12" t="n">
        <v>0.5</v>
      </c>
      <c r="L100" s="12" t="n">
        <v>1</v>
      </c>
      <c r="M100" s="12" t="n">
        <v>1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2</v>
      </c>
      <c r="T100" s="13" t="inlineStr"/>
      <c r="U100" s="16" t="inlineStr">
        <is>
          <t>Verificado (perfil pequeno; afil. BUAP)</t>
        </is>
      </c>
      <c r="V100" s="13" t="inlineStr"/>
    </row>
    <row r="101">
      <c r="A101" s="12" t="n">
        <v>240837</v>
      </c>
      <c r="B101" s="13" t="inlineStr">
        <is>
          <t>Raquel Murillo Ortiz</t>
        </is>
      </c>
      <c r="C101" s="12" t="inlineStr">
        <is>
          <t>0009-0007-4377-6107</t>
        </is>
      </c>
      <c r="D101" s="13" t="inlineStr">
        <is>
          <t>https://orcid.org/0009-0007-4377-6107</t>
        </is>
      </c>
      <c r="E101" s="13" t="inlineStr">
        <is>
          <t>OpenAlex + ORCID</t>
        </is>
      </c>
      <c r="F101" s="12" t="n">
        <v>5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5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3</v>
      </c>
      <c r="T101" s="13" t="inlineStr">
        <is>
          <t>Quimica Hoy</t>
        </is>
      </c>
      <c r="U101" s="14" t="inlineStr">
        <is>
          <t>Verificado (perfil pequeno)</t>
        </is>
      </c>
      <c r="V101" s="13" t="inlineStr"/>
    </row>
    <row r="102">
      <c r="A102" s="12" t="n">
        <v>120727</v>
      </c>
      <c r="B102" s="13" t="inlineStr">
        <is>
          <t>Rodolfo Cortez Martínez</t>
        </is>
      </c>
      <c r="C102" s="12" t="inlineStr">
        <is>
          <t>0000-0002-6965-4673</t>
        </is>
      </c>
      <c r="D102" s="13" t="inlineStr">
        <is>
          <t>https://orcid.org/0000-0002-6965-4673</t>
        </is>
      </c>
      <c r="E102" s="13" t="inlineStr">
        <is>
          <t>OpenAlex + ORCID</t>
        </is>
      </c>
      <c r="F102" s="12" t="n">
        <v>31</v>
      </c>
      <c r="G102" s="12" t="n">
        <v>131</v>
      </c>
      <c r="H102" s="12" t="n">
        <v>5</v>
      </c>
      <c r="I102" s="12" t="n">
        <v>4</v>
      </c>
      <c r="J102" s="12" t="n">
        <v>0.5</v>
      </c>
      <c r="K102" s="12" t="n">
        <v>4.2</v>
      </c>
      <c r="L102" s="12" t="n">
        <v>26</v>
      </c>
      <c r="M102" s="12" t="n">
        <v>1</v>
      </c>
      <c r="N102" s="12" t="n">
        <v>0</v>
      </c>
      <c r="O102" s="12" t="n">
        <v>3</v>
      </c>
      <c r="P102" s="12" t="n">
        <v>5</v>
      </c>
      <c r="Q102" s="12" t="n">
        <v>6</v>
      </c>
      <c r="R102" s="12" t="n">
        <v>3</v>
      </c>
      <c r="S102" s="12" t="n">
        <v>8</v>
      </c>
      <c r="T102" s="13" t="inlineStr">
        <is>
          <t>Surface Review and Letters; Optics Letters; NANO; AIP Advances</t>
        </is>
      </c>
      <c r="U102" s="14" t="inlineStr">
        <is>
          <t>Verificado (perfil hallado via ORCID)</t>
        </is>
      </c>
      <c r="V102" s="13" t="inlineStr"/>
    </row>
    <row r="103">
      <c r="A103" s="12" t="n">
        <v>191315</v>
      </c>
      <c r="B103" s="13" t="inlineStr">
        <is>
          <t>Yazmany Jahaziel Guerrero Ceja</t>
        </is>
      </c>
      <c r="C103" s="12" t="inlineStr">
        <is>
          <t>0009-0002-3673-8659</t>
        </is>
      </c>
      <c r="D103" s="13" t="inlineStr">
        <is>
          <t>https://orcid.org/0009-0002-3673-8659</t>
        </is>
      </c>
      <c r="E103" s="13" t="inlineStr">
        <is>
          <t>OpenAlex + ORCID</t>
        </is>
      </c>
      <c r="F103" s="12" t="n">
        <v>2</v>
      </c>
      <c r="G103" s="12" t="n">
        <v>16</v>
      </c>
      <c r="H103" s="12" t="n">
        <v>1</v>
      </c>
      <c r="I103" s="12" t="n">
        <v>1</v>
      </c>
      <c r="J103" s="12" t="n">
        <v>8</v>
      </c>
      <c r="K103" s="12" t="n">
        <v>8</v>
      </c>
      <c r="L103" s="12" t="n">
        <v>2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2</v>
      </c>
      <c r="T103" s="13" t="inlineStr">
        <is>
          <t>Horizontes Revista de Investigación en Ciencias de la Educación; Revista Docentes 2 0</t>
        </is>
      </c>
      <c r="U103" s="14" t="inlineStr">
        <is>
          <t>Verificado (perfil pequeno)</t>
        </is>
      </c>
      <c r="V103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BASE DE DATOS DE INVESTIGADORES UANL</t>
        </is>
      </c>
    </row>
    <row r="2">
      <c r="A2" s="18" t="inlineStr"/>
    </row>
    <row r="3">
      <c r="A3" s="18" t="inlineStr">
        <is>
          <t>93 investigadores (85 con perfil OpenAlex; 70 con ORCID; 8 sin perfil).</t>
        </is>
      </c>
    </row>
    <row r="4">
      <c r="A4" s="18" t="inlineStr">
        <is>
          <t>COMPLETO: ORCID, publicaciones, citas, H, i10, citas 2yr, citas/pub, tipo de trabajo y Revistas Principales.</t>
        </is>
      </c>
    </row>
    <row r="5">
      <c r="A5" s="18" t="inlineStr">
        <is>
          <t>CUARTILES (Pub Q1-Q4): SJR de Scimago (Best Quartile, ano vigente). JCR no disponible: la cuenta WoS no tiene suscripcion a JCR.</t>
        </is>
      </c>
    </row>
    <row r="6">
      <c r="A6" s="18" t="inlineStr">
        <is>
          <t>Se pueden reemplazar por JCR oficial si se obtiene acceso (red/VPN UANL). 'Sin Cuartil' = repositorios, congresos, preprints y revistas no indexadas en Scimago.</t>
        </is>
      </c>
    </row>
    <row r="7">
      <c r="A7" s="18" t="inlineStr">
        <is>
          <t>Fuentes: archivo original (CVU/Nombre) + OpenAlex (metricas, tipos, revistas). Desambiguacion por nombre completo+ORCID+afiliacion UANL.</t>
        </is>
      </c>
    </row>
    <row r="8">
      <c r="A8" s="18" t="inlineStr">
        <is>
          <t>Nota: los tipos no incluyen 'conference-papers', por eso pueden no sumar el total de publicaciones.</t>
        </is>
      </c>
    </row>
    <row r="9">
      <c r="A9" s="18" t="inlineStr">
        <is>
          <t>Revisar identidad: 854945 (revistas de oftalmologia, posible homonimo). Sin perfil: 169343,935315,120727,664945,479737,81182,219291,1144698.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</t>
        </is>
      </c>
      <c r="B1" t="inlineStr">
        <is>
          <t>Citas</t>
        </is>
      </c>
      <c r="D1" t="inlineStr">
        <is>
          <t>Inv</t>
        </is>
      </c>
      <c r="E1" t="inlineStr">
        <is>
          <t>H</t>
        </is>
      </c>
      <c r="G1" t="inlineStr">
        <is>
          <t>Rango H</t>
        </is>
      </c>
      <c r="H1" t="inlineStr">
        <is>
          <t>N</t>
        </is>
      </c>
      <c r="J1" t="inlineStr">
        <is>
          <t>ORCID</t>
        </is>
      </c>
      <c r="K1" t="inlineStr">
        <is>
          <t>N</t>
        </is>
      </c>
      <c r="M1" t="inlineStr">
        <is>
          <t>Cuartil</t>
        </is>
      </c>
      <c r="N1" t="inlineStr">
        <is>
          <t>Publicaciones</t>
        </is>
      </c>
    </row>
    <row r="2">
      <c r="A2" t="inlineStr">
        <is>
          <t>M. Valentinovich Basin</t>
        </is>
      </c>
      <c r="B2" t="n">
        <v>8745</v>
      </c>
      <c r="D2" t="inlineStr">
        <is>
          <t>M. Valentinovich Basin</t>
        </is>
      </c>
      <c r="E2" t="n">
        <v>48</v>
      </c>
      <c r="G2" t="inlineStr">
        <is>
          <t>0-5</t>
        </is>
      </c>
      <c r="H2" t="n">
        <v>44</v>
      </c>
      <c r="J2" t="inlineStr">
        <is>
          <t>Con ORCID</t>
        </is>
      </c>
      <c r="K2" t="n">
        <v>86</v>
      </c>
      <c r="M2" t="inlineStr">
        <is>
          <t>Q1</t>
        </is>
      </c>
      <c r="N2" t="n">
        <v>766</v>
      </c>
    </row>
    <row r="3">
      <c r="A3" t="inlineStr">
        <is>
          <t>O. Vasilievna Kharissova</t>
        </is>
      </c>
      <c r="B3" t="n">
        <v>4588</v>
      </c>
      <c r="D3" t="inlineStr">
        <is>
          <t>S. Alberto Obregón</t>
        </is>
      </c>
      <c r="E3" t="n">
        <v>35</v>
      </c>
      <c r="G3" t="inlineStr">
        <is>
          <t>6-10</t>
        </is>
      </c>
      <c r="H3" t="n">
        <v>19</v>
      </c>
      <c r="J3" t="inlineStr">
        <is>
          <t>Perfil s/ORCID</t>
        </is>
      </c>
      <c r="K3" t="n">
        <v>1</v>
      </c>
      <c r="M3" t="inlineStr">
        <is>
          <t>Q2</t>
        </is>
      </c>
      <c r="N3" t="n">
        <v>506</v>
      </c>
    </row>
    <row r="4">
      <c r="A4" t="inlineStr">
        <is>
          <t>S. Alberto Obregón</t>
        </is>
      </c>
      <c r="B4" t="n">
        <v>3720</v>
      </c>
      <c r="D4" t="inlineStr">
        <is>
          <t>M. Ángel Gracia</t>
        </is>
      </c>
      <c r="E4" t="n">
        <v>29</v>
      </c>
      <c r="G4" t="inlineStr">
        <is>
          <t>11-15</t>
        </is>
      </c>
      <c r="H4" t="n">
        <v>10</v>
      </c>
      <c r="J4" t="inlineStr">
        <is>
          <t>Sin perfil</t>
        </is>
      </c>
      <c r="K4" t="n">
        <v>6</v>
      </c>
      <c r="M4" t="inlineStr">
        <is>
          <t>Q3</t>
        </is>
      </c>
      <c r="N4" t="n">
        <v>203</v>
      </c>
    </row>
    <row r="5">
      <c r="A5" t="inlineStr">
        <is>
          <t>M. Ángel Gracia</t>
        </is>
      </c>
      <c r="B5" t="n">
        <v>2404</v>
      </c>
      <c r="D5" t="inlineStr">
        <is>
          <t>E. Gerardo Pérez</t>
        </is>
      </c>
      <c r="E5" t="n">
        <v>27</v>
      </c>
      <c r="G5" t="inlineStr">
        <is>
          <t>16-20</t>
        </is>
      </c>
      <c r="H5" t="n">
        <v>7</v>
      </c>
      <c r="M5" t="inlineStr">
        <is>
          <t>Q4</t>
        </is>
      </c>
      <c r="N5" t="n">
        <v>95</v>
      </c>
    </row>
    <row r="6">
      <c r="A6" t="inlineStr">
        <is>
          <t>E. Gerardo Pérez</t>
        </is>
      </c>
      <c r="B6" t="n">
        <v>2384</v>
      </c>
      <c r="D6" t="inlineStr">
        <is>
          <t>O. Vasilievna Kharissova</t>
        </is>
      </c>
      <c r="E6" t="n">
        <v>25</v>
      </c>
      <c r="G6" t="inlineStr">
        <is>
          <t>21-30</t>
        </is>
      </c>
      <c r="H6" t="n">
        <v>5</v>
      </c>
      <c r="M6" t="inlineStr">
        <is>
          <t>Sin cuartil</t>
        </is>
      </c>
      <c r="N6" t="n">
        <v>1016</v>
      </c>
    </row>
    <row r="7">
      <c r="A7" t="inlineStr">
        <is>
          <t>D. Edwin Alvarez</t>
        </is>
      </c>
      <c r="B7" t="n">
        <v>1785</v>
      </c>
      <c r="D7" t="inlineStr">
        <is>
          <t>S. Javier Mejía</t>
        </is>
      </c>
      <c r="E7" t="n">
        <v>23</v>
      </c>
      <c r="G7" t="inlineStr">
        <is>
          <t>31+</t>
        </is>
      </c>
      <c r="H7" t="n">
        <v>2</v>
      </c>
    </row>
    <row r="8">
      <c r="A8" t="inlineStr">
        <is>
          <t>S. Javier Mejía</t>
        </is>
      </c>
      <c r="B8" t="n">
        <v>1698</v>
      </c>
      <c r="D8" t="inlineStr">
        <is>
          <t>A. Tlahuice Flores</t>
        </is>
      </c>
      <c r="E8" t="n">
        <v>21</v>
      </c>
    </row>
    <row r="9">
      <c r="A9" t="inlineStr">
        <is>
          <t>Viacheslav Kalashnikov</t>
        </is>
      </c>
      <c r="B9" t="n">
        <v>1612</v>
      </c>
      <c r="D9" t="inlineStr">
        <is>
          <t>Viacheslav Kalashnikov</t>
        </is>
      </c>
      <c r="E9" t="n">
        <v>20</v>
      </c>
    </row>
    <row r="10">
      <c r="A10" t="inlineStr">
        <is>
          <t>O. Jorge Ibarra</t>
        </is>
      </c>
      <c r="B10" t="n">
        <v>1591</v>
      </c>
      <c r="D10" t="inlineStr">
        <is>
          <t>D. Edwin Alvarez</t>
        </is>
      </c>
      <c r="E10" t="n">
        <v>19</v>
      </c>
    </row>
    <row r="11">
      <c r="A11" t="inlineStr">
        <is>
          <t>R. de Jesús</t>
        </is>
      </c>
      <c r="B11" t="n">
        <v>1331</v>
      </c>
      <c r="D11" t="inlineStr">
        <is>
          <t>R. de Jesús</t>
        </is>
      </c>
      <c r="E11" t="n">
        <v>18</v>
      </c>
    </row>
    <row r="12">
      <c r="A12" t="inlineStr">
        <is>
          <t>G. Antonio Castañón</t>
        </is>
      </c>
      <c r="B12" t="n">
        <v>1210</v>
      </c>
      <c r="D12" t="inlineStr">
        <is>
          <t>D. Berenice Hernández</t>
        </is>
      </c>
      <c r="E12" t="n">
        <v>18</v>
      </c>
    </row>
    <row r="13">
      <c r="A13" t="inlineStr">
        <is>
          <t>D. Berenice Hernández</t>
        </is>
      </c>
      <c r="B13" t="n">
        <v>1209</v>
      </c>
      <c r="D13" t="inlineStr">
        <is>
          <t>Yogesh  Kumar</t>
        </is>
      </c>
      <c r="E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2026-07-29T17:49:44Z</dcterms:created>
  <dcterms:modified xmlns:dcterms="http://purl.org/dc/terms/" xmlns:xsi="http://www.w3.org/2001/XMLSchema-instance" xsi:type="dcterms:W3CDTF">2026-07-29T17:49:44Z</dcterms:modified>
</cp:coreProperties>
</file>